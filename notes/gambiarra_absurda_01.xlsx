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4\Downloads\"/>
    </mc:Choice>
  </mc:AlternateContent>
  <xr:revisionPtr revIDLastSave="0" documentId="13_ncr:1_{C5981409-40B9-441F-95E2-5DC795E4B554}" xr6:coauthVersionLast="47" xr6:coauthVersionMax="47" xr10:uidLastSave="{00000000-0000-0000-0000-000000000000}"/>
  <bookViews>
    <workbookView xWindow="-120" yWindow="-120" windowWidth="29040" windowHeight="15720" xr2:uid="{66455459-BB39-4145-9BD8-D76C42FE00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" i="1" l="1"/>
  <c r="C33" i="1" s="1"/>
  <c r="B37" i="1"/>
  <c r="B35" i="1"/>
  <c r="B40" i="1"/>
  <c r="C25" i="1"/>
  <c r="D25" i="1" s="1"/>
  <c r="C24" i="1"/>
  <c r="C23" i="1"/>
  <c r="C22" i="1"/>
  <c r="D22" i="1" s="1"/>
  <c r="C15" i="1"/>
  <c r="D15" i="1" s="1"/>
  <c r="C14" i="1"/>
  <c r="D14" i="1" s="1"/>
  <c r="C7" i="1"/>
  <c r="D7" i="1" s="1"/>
  <c r="C6" i="1"/>
  <c r="D6" i="1" s="1"/>
  <c r="C5" i="1"/>
  <c r="D27" i="1"/>
  <c r="D17" i="1"/>
  <c r="D9" i="1"/>
  <c r="B33" i="1"/>
  <c r="B26" i="1"/>
  <c r="B16" i="1"/>
  <c r="D23" i="1"/>
  <c r="D24" i="1"/>
  <c r="D5" i="1"/>
  <c r="B8" i="1"/>
  <c r="C32" i="1" l="1"/>
  <c r="D32" i="1" s="1"/>
  <c r="D33" i="1" s="1"/>
  <c r="D26" i="1"/>
  <c r="D16" i="1"/>
  <c r="B39" i="1"/>
  <c r="D8" i="1"/>
  <c r="D39" i="1" l="1"/>
  <c r="D37" i="1"/>
</calcChain>
</file>

<file path=xl/sharedStrings.xml><?xml version="1.0" encoding="utf-8"?>
<sst xmlns="http://schemas.openxmlformats.org/spreadsheetml/2006/main" count="30" uniqueCount="21">
  <si>
    <t>COMPRA 1</t>
  </si>
  <si>
    <t>motor</t>
  </si>
  <si>
    <t>sensor</t>
  </si>
  <si>
    <t>desconto</t>
  </si>
  <si>
    <t>total</t>
  </si>
  <si>
    <t>COMPRA 2</t>
  </si>
  <si>
    <t>COMPRA 3</t>
  </si>
  <si>
    <t>COMPRA 4</t>
  </si>
  <si>
    <t>jumpers</t>
  </si>
  <si>
    <t>suporte</t>
  </si>
  <si>
    <t>esp</t>
  </si>
  <si>
    <t>ponte</t>
  </si>
  <si>
    <t>protoboard</t>
  </si>
  <si>
    <t>pilhas</t>
  </si>
  <si>
    <t>nome</t>
  </si>
  <si>
    <t>preço</t>
  </si>
  <si>
    <t>pcd</t>
  </si>
  <si>
    <t>TTTD</t>
  </si>
  <si>
    <t>obs2</t>
  </si>
  <si>
    <t>obs1</t>
  </si>
  <si>
    <t>mimimi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</si>
</sst>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D2A9-07A7-4A92-A617-DF9F5E5C60AA}">
  <dimension ref="A1:D45"/>
  <sheetViews>
    <sheetView tabSelected="1" topLeftCell="A13" workbookViewId="0">
      <selection activeCell="I30" sqref="I30"/>
    </sheetView>
  </sheetViews>
  <sheetFormatPr defaultRowHeight="15" x14ac:dyDescent="0.25"/>
  <cols>
    <col min="1" max="4" width="10.7109375" customWidth="1"/>
  </cols>
  <sheetData>
    <row r="1" spans="1:4" x14ac:dyDescent="0.25">
      <c r="A1" t="s">
        <v>14</v>
      </c>
      <c r="B1" t="s">
        <v>15</v>
      </c>
      <c r="C1" t="s">
        <v>3</v>
      </c>
      <c r="D1" t="s">
        <v>16</v>
      </c>
    </row>
    <row r="3" spans="1:4" x14ac:dyDescent="0.25">
      <c r="A3" t="s">
        <v>0</v>
      </c>
    </row>
    <row r="5" spans="1:4" x14ac:dyDescent="0.25">
      <c r="A5" t="s">
        <v>1</v>
      </c>
      <c r="B5" s="1">
        <v>33.700000000000003</v>
      </c>
      <c r="C5" s="1">
        <f>D9</f>
        <v>2.0333333333333332</v>
      </c>
      <c r="D5" s="1">
        <f>SUM(B5-C5)</f>
        <v>31.666666666666671</v>
      </c>
    </row>
    <row r="6" spans="1:4" x14ac:dyDescent="0.25">
      <c r="A6" t="s">
        <v>2</v>
      </c>
      <c r="B6" s="1">
        <v>10.9</v>
      </c>
      <c r="C6" s="1">
        <f>D9</f>
        <v>2.0333333333333332</v>
      </c>
      <c r="D6" s="1">
        <f>SUM(B6-C6)</f>
        <v>8.8666666666666671</v>
      </c>
    </row>
    <row r="7" spans="1:4" x14ac:dyDescent="0.25">
      <c r="A7" t="s">
        <v>2</v>
      </c>
      <c r="B7" s="1">
        <v>10.9</v>
      </c>
      <c r="C7" s="1">
        <f>D9</f>
        <v>2.0333333333333332</v>
      </c>
      <c r="D7" s="1">
        <f>SUM(B7-C7)</f>
        <v>8.8666666666666671</v>
      </c>
    </row>
    <row r="8" spans="1:4" x14ac:dyDescent="0.25">
      <c r="B8" s="1">
        <f>SUM(B5:B7)</f>
        <v>55.5</v>
      </c>
      <c r="C8" s="1"/>
      <c r="D8" s="1">
        <f>SUM(D5:D7)</f>
        <v>49.400000000000006</v>
      </c>
    </row>
    <row r="9" spans="1:4" x14ac:dyDescent="0.25">
      <c r="A9" t="s">
        <v>3</v>
      </c>
      <c r="B9" s="1">
        <v>6.1</v>
      </c>
      <c r="C9" s="2">
        <v>3</v>
      </c>
      <c r="D9" s="1">
        <f>SUM(B9/C9)</f>
        <v>2.0333333333333332</v>
      </c>
    </row>
    <row r="10" spans="1:4" x14ac:dyDescent="0.25">
      <c r="A10" t="s">
        <v>4</v>
      </c>
      <c r="B10" s="1">
        <v>49.4</v>
      </c>
      <c r="C10" s="1"/>
      <c r="D10" s="1"/>
    </row>
    <row r="11" spans="1:4" x14ac:dyDescent="0.25">
      <c r="B11" s="1"/>
      <c r="C11" s="1"/>
      <c r="D11" s="1"/>
    </row>
    <row r="12" spans="1:4" x14ac:dyDescent="0.25">
      <c r="A12" t="s">
        <v>5</v>
      </c>
      <c r="B12" s="1"/>
      <c r="C12" s="1"/>
      <c r="D12" s="1"/>
    </row>
    <row r="13" spans="1:4" x14ac:dyDescent="0.25">
      <c r="B13" s="1"/>
      <c r="C13" s="1"/>
      <c r="D13" s="1"/>
    </row>
    <row r="14" spans="1:4" x14ac:dyDescent="0.25">
      <c r="A14" t="s">
        <v>8</v>
      </c>
      <c r="B14" s="1">
        <v>21.74</v>
      </c>
      <c r="C14" s="1">
        <f>D17</f>
        <v>2.23</v>
      </c>
      <c r="D14" s="1">
        <f t="shared" ref="D9:D37" si="0">SUM(B14-C14)</f>
        <v>19.509999999999998</v>
      </c>
    </row>
    <row r="15" spans="1:4" x14ac:dyDescent="0.25">
      <c r="A15" t="s">
        <v>9</v>
      </c>
      <c r="B15" s="1">
        <v>18.97</v>
      </c>
      <c r="C15" s="1">
        <f>D17</f>
        <v>2.23</v>
      </c>
      <c r="D15" s="1">
        <f t="shared" si="0"/>
        <v>16.739999999999998</v>
      </c>
    </row>
    <row r="16" spans="1:4" x14ac:dyDescent="0.25">
      <c r="B16" s="1">
        <f>SUM(B14:B15)</f>
        <v>40.709999999999994</v>
      </c>
      <c r="C16" s="1"/>
      <c r="D16" s="1">
        <f>SUM(D14:D15)</f>
        <v>36.25</v>
      </c>
    </row>
    <row r="17" spans="1:4" x14ac:dyDescent="0.25">
      <c r="A17" t="s">
        <v>3</v>
      </c>
      <c r="B17" s="1">
        <v>4.46</v>
      </c>
      <c r="C17" s="2">
        <v>2</v>
      </c>
      <c r="D17" s="1">
        <f>SUM(B17/C17)</f>
        <v>2.23</v>
      </c>
    </row>
    <row r="18" spans="1:4" x14ac:dyDescent="0.25">
      <c r="A18" t="s">
        <v>4</v>
      </c>
      <c r="B18" s="1">
        <v>36.25</v>
      </c>
      <c r="C18" s="1"/>
      <c r="D18" s="1"/>
    </row>
    <row r="19" spans="1:4" x14ac:dyDescent="0.25">
      <c r="B19" s="1"/>
      <c r="C19" s="1"/>
      <c r="D19" s="1"/>
    </row>
    <row r="20" spans="1:4" x14ac:dyDescent="0.25">
      <c r="A20" t="s">
        <v>6</v>
      </c>
      <c r="B20" s="1"/>
      <c r="C20" s="1"/>
      <c r="D20" s="1"/>
    </row>
    <row r="21" spans="1:4" x14ac:dyDescent="0.25">
      <c r="B21" s="1"/>
      <c r="C21" s="1"/>
      <c r="D21" s="1"/>
    </row>
    <row r="22" spans="1:4" x14ac:dyDescent="0.25">
      <c r="A22" t="s">
        <v>10</v>
      </c>
      <c r="B22" s="1">
        <v>37.49</v>
      </c>
      <c r="C22" s="1">
        <f>D27</f>
        <v>2.8</v>
      </c>
      <c r="D22" s="1">
        <f t="shared" si="0"/>
        <v>34.690000000000005</v>
      </c>
    </row>
    <row r="23" spans="1:4" x14ac:dyDescent="0.25">
      <c r="A23" t="s">
        <v>11</v>
      </c>
      <c r="B23" s="1">
        <v>21.99</v>
      </c>
      <c r="C23" s="1">
        <f>D27</f>
        <v>2.8</v>
      </c>
      <c r="D23" s="1">
        <f t="shared" si="0"/>
        <v>19.189999999999998</v>
      </c>
    </row>
    <row r="24" spans="1:4" x14ac:dyDescent="0.25">
      <c r="A24" t="s">
        <v>2</v>
      </c>
      <c r="B24" s="1">
        <v>15.26</v>
      </c>
      <c r="C24" s="1">
        <f>D27</f>
        <v>2.8</v>
      </c>
      <c r="D24" s="1">
        <f t="shared" si="0"/>
        <v>12.46</v>
      </c>
    </row>
    <row r="25" spans="1:4" x14ac:dyDescent="0.25">
      <c r="A25" t="s">
        <v>12</v>
      </c>
      <c r="B25" s="1">
        <v>12.99</v>
      </c>
      <c r="C25" s="1">
        <f>D27</f>
        <v>2.8</v>
      </c>
      <c r="D25" s="1">
        <f t="shared" si="0"/>
        <v>10.190000000000001</v>
      </c>
    </row>
    <row r="26" spans="1:4" x14ac:dyDescent="0.25">
      <c r="B26" s="1">
        <f>SUM(B22:B25)</f>
        <v>87.73</v>
      </c>
      <c r="C26" s="1"/>
      <c r="D26" s="1">
        <f>SUM(D22:D25)</f>
        <v>76.53</v>
      </c>
    </row>
    <row r="27" spans="1:4" x14ac:dyDescent="0.25">
      <c r="A27" t="s">
        <v>3</v>
      </c>
      <c r="B27" s="1">
        <v>11.2</v>
      </c>
      <c r="C27" s="2">
        <v>4</v>
      </c>
      <c r="D27" s="1">
        <f>SUM(B27/C27)</f>
        <v>2.8</v>
      </c>
    </row>
    <row r="28" spans="1:4" x14ac:dyDescent="0.25">
      <c r="A28" t="s">
        <v>4</v>
      </c>
      <c r="B28" s="1">
        <v>76.53</v>
      </c>
      <c r="C28" s="1"/>
      <c r="D28" s="1"/>
    </row>
    <row r="29" spans="1:4" x14ac:dyDescent="0.25">
      <c r="B29" s="1"/>
      <c r="C29" s="1"/>
      <c r="D29" s="1"/>
    </row>
    <row r="30" spans="1:4" x14ac:dyDescent="0.25">
      <c r="A30" t="s">
        <v>7</v>
      </c>
      <c r="B30" s="1"/>
      <c r="C30" s="1"/>
      <c r="D30" s="1"/>
    </row>
    <row r="31" spans="1:4" x14ac:dyDescent="0.25">
      <c r="B31" s="1"/>
      <c r="C31" s="1"/>
      <c r="D31" s="1"/>
    </row>
    <row r="32" spans="1:4" x14ac:dyDescent="0.25">
      <c r="A32" t="s">
        <v>13</v>
      </c>
      <c r="B32" s="1">
        <v>46.99</v>
      </c>
      <c r="C32" s="1">
        <f>D34</f>
        <v>0</v>
      </c>
      <c r="D32" s="1">
        <f t="shared" si="0"/>
        <v>46.99</v>
      </c>
    </row>
    <row r="33" spans="1:4" x14ac:dyDescent="0.25">
      <c r="B33" s="1">
        <f>SUM(B32)</f>
        <v>46.99</v>
      </c>
      <c r="C33" s="1">
        <f>D34</f>
        <v>0</v>
      </c>
      <c r="D33" s="1">
        <f>SUM(D32)</f>
        <v>46.99</v>
      </c>
    </row>
    <row r="34" spans="1:4" x14ac:dyDescent="0.25">
      <c r="A34" t="s">
        <v>3</v>
      </c>
      <c r="B34" s="1">
        <v>0</v>
      </c>
      <c r="C34" s="2">
        <v>1</v>
      </c>
      <c r="D34" s="1">
        <f>SUM(B34/C34)</f>
        <v>0</v>
      </c>
    </row>
    <row r="35" spans="1:4" x14ac:dyDescent="0.25">
      <c r="A35" t="s">
        <v>4</v>
      </c>
      <c r="B35" s="1">
        <f>SUM(B32)</f>
        <v>46.99</v>
      </c>
      <c r="C35" s="1"/>
      <c r="D35" s="1"/>
    </row>
    <row r="36" spans="1:4" x14ac:dyDescent="0.25">
      <c r="B36" s="1"/>
      <c r="C36" s="1"/>
      <c r="D36" s="1"/>
    </row>
    <row r="37" spans="1:4" x14ac:dyDescent="0.25">
      <c r="A37" t="s">
        <v>17</v>
      </c>
      <c r="B37" s="1">
        <f>SUM(B10,B18,B28,B35)</f>
        <v>209.17000000000002</v>
      </c>
      <c r="C37" s="1"/>
      <c r="D37" s="1">
        <f>SUM(D8,D16,D26,D33)</f>
        <v>209.17000000000002</v>
      </c>
    </row>
    <row r="39" spans="1:4" x14ac:dyDescent="0.25">
      <c r="A39" t="s">
        <v>19</v>
      </c>
      <c r="B39" s="1">
        <f>SUM(D14,D25)</f>
        <v>29.7</v>
      </c>
      <c r="D39" s="1">
        <f>SUM(D5,D15,D22,D23,D24,D33,B39,B40)</f>
        <v>209.17000000000002</v>
      </c>
    </row>
    <row r="40" spans="1:4" x14ac:dyDescent="0.25">
      <c r="A40" t="s">
        <v>18</v>
      </c>
      <c r="B40" s="1">
        <f>SUM(D6:D7)</f>
        <v>17.733333333333334</v>
      </c>
      <c r="D40" t="s">
        <v>20</v>
      </c>
    </row>
    <row r="44" spans="1:4" x14ac:dyDescent="0.25">
      <c r="B44" s="1"/>
      <c r="C44" s="2"/>
      <c r="D44" s="1"/>
    </row>
    <row r="45" spans="1:4" x14ac:dyDescent="0.25">
      <c r="D45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ALVES OLIVEIRA</dc:creator>
  <cp:lastModifiedBy>JOAO PEDRO ALVES OLIVEIRA</cp:lastModifiedBy>
  <dcterms:created xsi:type="dcterms:W3CDTF">2026-09-07T10:10:24Z</dcterms:created>
  <dcterms:modified xsi:type="dcterms:W3CDTF">2026-09-07T10:48:10Z</dcterms:modified>
</cp:coreProperties>
</file>