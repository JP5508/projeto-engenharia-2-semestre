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C:\Users\alexandre.aneves\Documents\Alexandre Neves\2026\2026_2\Design de Software\Robô Desvia Obstáculo\Documentos\"/>
    </mc:Choice>
  </mc:AlternateContent>
  <xr:revisionPtr revIDLastSave="293" documentId="13_ncr:1_{0D96AE51-37FE-48D1-8181-D46899D8BCB0}" xr6:coauthVersionLast="47" xr6:coauthVersionMax="47" xr10:uidLastSave="{AD10ACBE-747C-47F6-80C9-D2C1F9FC8806}"/>
  <bookViews>
    <workbookView xWindow="-110" yWindow="-110" windowWidth="19420" windowHeight="10300" tabRatio="816" firstSheet="1" activeTab="5" xr2:uid="{00000000-000D-0000-FFFF-FFFF00000000}"/>
  </bookViews>
  <sheets>
    <sheet name="Visão Geral" sheetId="1" r:id="rId1"/>
    <sheet name="Cronograma" sheetId="2" r:id="rId2"/>
    <sheet name="Tempo" sheetId="3" r:id="rId3"/>
    <sheet name="1. Integração" sheetId="4" r:id="rId4"/>
    <sheet name="2. Escopo" sheetId="5" r:id="rId5"/>
    <sheet name="3. Custos" sheetId="6" r:id="rId6"/>
    <sheet name="4. Qualidade" sheetId="7" r:id="rId7"/>
    <sheet name="5. Recursos" sheetId="8" r:id="rId8"/>
    <sheet name="6. Comunicações" sheetId="9" r:id="rId9"/>
    <sheet name="7. Riscos" sheetId="10" r:id="rId10"/>
    <sheet name="8. Aquisições" sheetId="11" r:id="rId11"/>
    <sheet name="9. Stakeholders" sheetId="12" r:id="rId1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2" i="2" l="1"/>
  <c r="E13" i="11"/>
  <c r="C13" i="11"/>
  <c r="E12" i="11"/>
  <c r="C12" i="11"/>
  <c r="E11" i="11"/>
  <c r="C11" i="11"/>
  <c r="E10" i="11"/>
  <c r="C10" i="11"/>
  <c r="E9" i="11"/>
  <c r="C9" i="11"/>
  <c r="E8" i="11"/>
  <c r="C8" i="11"/>
  <c r="E7" i="11"/>
  <c r="C7" i="11"/>
  <c r="E6" i="11"/>
  <c r="C6" i="11"/>
  <c r="E5" i="11"/>
  <c r="C5" i="11"/>
  <c r="F14" i="10"/>
  <c r="F13" i="10"/>
  <c r="F12" i="10"/>
  <c r="F11" i="10"/>
  <c r="F10" i="10"/>
  <c r="F9" i="10"/>
  <c r="F8" i="10"/>
  <c r="F7" i="10"/>
  <c r="F6" i="10"/>
  <c r="F5" i="10"/>
  <c r="H17" i="10" s="1"/>
  <c r="B22" i="8"/>
  <c r="B21" i="8"/>
  <c r="B20" i="8"/>
  <c r="B19" i="8"/>
  <c r="B18" i="8"/>
  <c r="B17" i="8"/>
  <c r="B16" i="8"/>
  <c r="B15" i="8"/>
  <c r="B14" i="8"/>
  <c r="C10" i="8"/>
  <c r="C5" i="8"/>
  <c r="B12" i="7"/>
  <c r="B11" i="7"/>
  <c r="B10" i="7"/>
  <c r="B9" i="7"/>
  <c r="B8" i="7"/>
  <c r="B7" i="7"/>
  <c r="B6" i="7"/>
  <c r="B5" i="7"/>
  <c r="E18" i="6"/>
  <c r="D18" i="6"/>
  <c r="D21" i="6" s="1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E60" i="5"/>
  <c r="D60" i="5"/>
  <c r="C60" i="5"/>
  <c r="B60" i="5"/>
  <c r="E59" i="5"/>
  <c r="D59" i="5"/>
  <c r="C59" i="5"/>
  <c r="B59" i="5"/>
  <c r="E58" i="5"/>
  <c r="D58" i="5"/>
  <c r="C58" i="5"/>
  <c r="B58" i="5"/>
  <c r="E56" i="5"/>
  <c r="D56" i="5"/>
  <c r="C56" i="5"/>
  <c r="B56" i="5"/>
  <c r="E55" i="5"/>
  <c r="D55" i="5"/>
  <c r="C55" i="5"/>
  <c r="B55" i="5"/>
  <c r="E54" i="5"/>
  <c r="D54" i="5"/>
  <c r="C54" i="5"/>
  <c r="B54" i="5"/>
  <c r="E52" i="5"/>
  <c r="D52" i="5"/>
  <c r="C52" i="5"/>
  <c r="B52" i="5"/>
  <c r="E51" i="5"/>
  <c r="D51" i="5"/>
  <c r="C51" i="5"/>
  <c r="B51" i="5"/>
  <c r="E50" i="5"/>
  <c r="D50" i="5"/>
  <c r="C50" i="5"/>
  <c r="B50" i="5"/>
  <c r="E49" i="5"/>
  <c r="D49" i="5"/>
  <c r="C49" i="5"/>
  <c r="B49" i="5"/>
  <c r="E48" i="5"/>
  <c r="D48" i="5"/>
  <c r="C48" i="5"/>
  <c r="B48" i="5"/>
  <c r="E47" i="5"/>
  <c r="D47" i="5"/>
  <c r="C47" i="5"/>
  <c r="B47" i="5"/>
  <c r="E45" i="5"/>
  <c r="D45" i="5"/>
  <c r="C45" i="5"/>
  <c r="B45" i="5"/>
  <c r="E44" i="5"/>
  <c r="D44" i="5"/>
  <c r="C44" i="5"/>
  <c r="B44" i="5"/>
  <c r="E43" i="5"/>
  <c r="D43" i="5"/>
  <c r="C43" i="5"/>
  <c r="B43" i="5"/>
  <c r="E42" i="5"/>
  <c r="D42" i="5"/>
  <c r="C42" i="5"/>
  <c r="B42" i="5"/>
  <c r="E41" i="5"/>
  <c r="D41" i="5"/>
  <c r="C41" i="5"/>
  <c r="B41" i="5"/>
  <c r="E39" i="5"/>
  <c r="D39" i="5"/>
  <c r="C39" i="5"/>
  <c r="B39" i="5"/>
  <c r="E38" i="5"/>
  <c r="D38" i="5"/>
  <c r="C38" i="5"/>
  <c r="B38" i="5"/>
  <c r="E37" i="5"/>
  <c r="D37" i="5"/>
  <c r="C37" i="5"/>
  <c r="B37" i="5"/>
  <c r="E36" i="5"/>
  <c r="D36" i="5"/>
  <c r="C36" i="5"/>
  <c r="B36" i="5"/>
  <c r="E35" i="5"/>
  <c r="D35" i="5"/>
  <c r="C35" i="5"/>
  <c r="B35" i="5"/>
  <c r="E34" i="5"/>
  <c r="D34" i="5"/>
  <c r="C34" i="5"/>
  <c r="B34" i="5"/>
  <c r="E32" i="5"/>
  <c r="D32" i="5"/>
  <c r="C32" i="5"/>
  <c r="B32" i="5"/>
  <c r="E31" i="5"/>
  <c r="D31" i="5"/>
  <c r="C31" i="5"/>
  <c r="B31" i="5"/>
  <c r="E30" i="5"/>
  <c r="D30" i="5"/>
  <c r="C30" i="5"/>
  <c r="B30" i="5"/>
  <c r="E29" i="5"/>
  <c r="D29" i="5"/>
  <c r="C29" i="5"/>
  <c r="B29" i="5"/>
  <c r="E28" i="5"/>
  <c r="D28" i="5"/>
  <c r="C28" i="5"/>
  <c r="B28" i="5"/>
  <c r="E27" i="5"/>
  <c r="D27" i="5"/>
  <c r="C27" i="5"/>
  <c r="B27" i="5"/>
  <c r="E25" i="5"/>
  <c r="D25" i="5"/>
  <c r="C25" i="5"/>
  <c r="B25" i="5"/>
  <c r="E24" i="5"/>
  <c r="D24" i="5"/>
  <c r="C24" i="5"/>
  <c r="B24" i="5"/>
  <c r="E23" i="5"/>
  <c r="D23" i="5"/>
  <c r="C23" i="5"/>
  <c r="B23" i="5"/>
  <c r="E21" i="5"/>
  <c r="D21" i="5"/>
  <c r="C21" i="5"/>
  <c r="B21" i="5"/>
  <c r="E20" i="5"/>
  <c r="D20" i="5"/>
  <c r="C20" i="5"/>
  <c r="B20" i="5"/>
  <c r="E19" i="5"/>
  <c r="D19" i="5"/>
  <c r="C19" i="5"/>
  <c r="B19" i="5"/>
  <c r="E18" i="5"/>
  <c r="D18" i="5"/>
  <c r="C18" i="5"/>
  <c r="B18" i="5"/>
  <c r="E17" i="5"/>
  <c r="D17" i="5"/>
  <c r="C17" i="5"/>
  <c r="B17" i="5"/>
  <c r="E16" i="5"/>
  <c r="D16" i="5"/>
  <c r="C16" i="5"/>
  <c r="B16" i="5"/>
  <c r="E15" i="5"/>
  <c r="D15" i="5"/>
  <c r="C15" i="5"/>
  <c r="B15" i="5"/>
  <c r="E13" i="5"/>
  <c r="D13" i="5"/>
  <c r="C13" i="5"/>
  <c r="B13" i="5"/>
  <c r="E12" i="5"/>
  <c r="D12" i="5"/>
  <c r="C12" i="5"/>
  <c r="B12" i="5"/>
  <c r="E11" i="5"/>
  <c r="D11" i="5"/>
  <c r="C11" i="5"/>
  <c r="B11" i="5"/>
  <c r="E10" i="5"/>
  <c r="D10" i="5"/>
  <c r="C10" i="5"/>
  <c r="B10" i="5"/>
  <c r="E8" i="5"/>
  <c r="D8" i="5"/>
  <c r="C8" i="5"/>
  <c r="B8" i="5"/>
  <c r="E7" i="5"/>
  <c r="D7" i="5"/>
  <c r="C7" i="5"/>
  <c r="B7" i="5"/>
  <c r="E6" i="5"/>
  <c r="D6" i="5"/>
  <c r="C6" i="5"/>
  <c r="B6" i="5"/>
  <c r="D28" i="4"/>
  <c r="C28" i="4"/>
  <c r="B28" i="4"/>
  <c r="A28" i="4"/>
  <c r="D27" i="4"/>
  <c r="C27" i="4"/>
  <c r="B27" i="4"/>
  <c r="A27" i="4"/>
  <c r="D26" i="4"/>
  <c r="C26" i="4"/>
  <c r="B26" i="4"/>
  <c r="A26" i="4"/>
  <c r="D25" i="4"/>
  <c r="C25" i="4"/>
  <c r="B25" i="4"/>
  <c r="A25" i="4"/>
  <c r="D24" i="4"/>
  <c r="C24" i="4"/>
  <c r="B24" i="4"/>
  <c r="A24" i="4"/>
  <c r="D23" i="4"/>
  <c r="C23" i="4"/>
  <c r="B23" i="4"/>
  <c r="A23" i="4"/>
  <c r="D22" i="4"/>
  <c r="C22" i="4"/>
  <c r="B22" i="4"/>
  <c r="A22" i="4"/>
  <c r="D21" i="4"/>
  <c r="C21" i="4"/>
  <c r="B21" i="4"/>
  <c r="A21" i="4"/>
  <c r="D20" i="4"/>
  <c r="C20" i="4"/>
  <c r="B20" i="4"/>
  <c r="A20" i="4"/>
  <c r="D19" i="4"/>
  <c r="C19" i="4"/>
  <c r="B19" i="4"/>
  <c r="A19" i="4"/>
  <c r="D18" i="4"/>
  <c r="C18" i="4"/>
  <c r="B18" i="4"/>
  <c r="A18" i="4"/>
  <c r="H50" i="3"/>
  <c r="G50" i="3"/>
  <c r="F50" i="3"/>
  <c r="E50" i="3"/>
  <c r="D50" i="3"/>
  <c r="B50" i="3"/>
  <c r="A50" i="3"/>
  <c r="H49" i="3"/>
  <c r="G49" i="3"/>
  <c r="F49" i="3"/>
  <c r="E49" i="3"/>
  <c r="D49" i="3"/>
  <c r="B49" i="3"/>
  <c r="A49" i="3"/>
  <c r="H48" i="3"/>
  <c r="G48" i="3"/>
  <c r="F48" i="3"/>
  <c r="E48" i="3"/>
  <c r="D48" i="3"/>
  <c r="B48" i="3"/>
  <c r="A48" i="3"/>
  <c r="H47" i="3"/>
  <c r="G47" i="3"/>
  <c r="F47" i="3"/>
  <c r="E47" i="3"/>
  <c r="D47" i="3"/>
  <c r="B47" i="3"/>
  <c r="A47" i="3"/>
  <c r="H46" i="3"/>
  <c r="G46" i="3"/>
  <c r="F46" i="3"/>
  <c r="E46" i="3"/>
  <c r="D46" i="3"/>
  <c r="B46" i="3"/>
  <c r="A46" i="3"/>
  <c r="H45" i="3"/>
  <c r="G45" i="3"/>
  <c r="F45" i="3"/>
  <c r="E45" i="3"/>
  <c r="D45" i="3"/>
  <c r="B45" i="3"/>
  <c r="A45" i="3"/>
  <c r="H44" i="3"/>
  <c r="G44" i="3"/>
  <c r="F44" i="3"/>
  <c r="E44" i="3"/>
  <c r="D44" i="3"/>
  <c r="B44" i="3"/>
  <c r="A44" i="3"/>
  <c r="H43" i="3"/>
  <c r="G43" i="3"/>
  <c r="F43" i="3"/>
  <c r="E43" i="3"/>
  <c r="D43" i="3"/>
  <c r="B43" i="3"/>
  <c r="A43" i="3"/>
  <c r="H42" i="3"/>
  <c r="G42" i="3"/>
  <c r="F42" i="3"/>
  <c r="E42" i="3"/>
  <c r="D42" i="3"/>
  <c r="B42" i="3"/>
  <c r="A42" i="3"/>
  <c r="H41" i="3"/>
  <c r="G41" i="3"/>
  <c r="F41" i="3"/>
  <c r="E41" i="3"/>
  <c r="D41" i="3"/>
  <c r="B41" i="3"/>
  <c r="A41" i="3"/>
  <c r="H40" i="3"/>
  <c r="G40" i="3"/>
  <c r="F40" i="3"/>
  <c r="E40" i="3"/>
  <c r="D40" i="3"/>
  <c r="B40" i="3"/>
  <c r="A40" i="3"/>
  <c r="H39" i="3"/>
  <c r="G39" i="3"/>
  <c r="F39" i="3"/>
  <c r="E39" i="3"/>
  <c r="D39" i="3"/>
  <c r="B39" i="3"/>
  <c r="A39" i="3"/>
  <c r="H38" i="3"/>
  <c r="G38" i="3"/>
  <c r="F38" i="3"/>
  <c r="E38" i="3"/>
  <c r="D38" i="3"/>
  <c r="B38" i="3"/>
  <c r="A38" i="3"/>
  <c r="H37" i="3"/>
  <c r="G37" i="3"/>
  <c r="F37" i="3"/>
  <c r="E37" i="3"/>
  <c r="D37" i="3"/>
  <c r="B37" i="3"/>
  <c r="A37" i="3"/>
  <c r="H36" i="3"/>
  <c r="G36" i="3"/>
  <c r="F36" i="3"/>
  <c r="E36" i="3"/>
  <c r="D36" i="3"/>
  <c r="B36" i="3"/>
  <c r="A36" i="3"/>
  <c r="H35" i="3"/>
  <c r="G35" i="3"/>
  <c r="F35" i="3"/>
  <c r="E35" i="3"/>
  <c r="D35" i="3"/>
  <c r="B35" i="3"/>
  <c r="A35" i="3"/>
  <c r="H34" i="3"/>
  <c r="G34" i="3"/>
  <c r="F34" i="3"/>
  <c r="E34" i="3"/>
  <c r="D34" i="3"/>
  <c r="B34" i="3"/>
  <c r="A34" i="3"/>
  <c r="H33" i="3"/>
  <c r="G33" i="3"/>
  <c r="F33" i="3"/>
  <c r="E33" i="3"/>
  <c r="D33" i="3"/>
  <c r="B33" i="3"/>
  <c r="A33" i="3"/>
  <c r="H32" i="3"/>
  <c r="G32" i="3"/>
  <c r="F32" i="3"/>
  <c r="E32" i="3"/>
  <c r="D32" i="3"/>
  <c r="B32" i="3"/>
  <c r="A32" i="3"/>
  <c r="H31" i="3"/>
  <c r="G31" i="3"/>
  <c r="F31" i="3"/>
  <c r="E31" i="3"/>
  <c r="D31" i="3"/>
  <c r="B31" i="3"/>
  <c r="A31" i="3"/>
  <c r="H30" i="3"/>
  <c r="G30" i="3"/>
  <c r="F30" i="3"/>
  <c r="E30" i="3"/>
  <c r="D30" i="3"/>
  <c r="B30" i="3"/>
  <c r="A30" i="3"/>
  <c r="H29" i="3"/>
  <c r="G29" i="3"/>
  <c r="F29" i="3"/>
  <c r="E29" i="3"/>
  <c r="D29" i="3"/>
  <c r="B29" i="3"/>
  <c r="A29" i="3"/>
  <c r="H28" i="3"/>
  <c r="G28" i="3"/>
  <c r="F28" i="3"/>
  <c r="E28" i="3"/>
  <c r="D28" i="3"/>
  <c r="B28" i="3"/>
  <c r="A28" i="3"/>
  <c r="H27" i="3"/>
  <c r="G27" i="3"/>
  <c r="F27" i="3"/>
  <c r="E27" i="3"/>
  <c r="D27" i="3"/>
  <c r="B27" i="3"/>
  <c r="A27" i="3"/>
  <c r="H26" i="3"/>
  <c r="G26" i="3"/>
  <c r="F26" i="3"/>
  <c r="E26" i="3"/>
  <c r="D26" i="3"/>
  <c r="B26" i="3"/>
  <c r="A26" i="3"/>
  <c r="H25" i="3"/>
  <c r="G25" i="3"/>
  <c r="F25" i="3"/>
  <c r="E25" i="3"/>
  <c r="D25" i="3"/>
  <c r="B25" i="3"/>
  <c r="A25" i="3"/>
  <c r="H24" i="3"/>
  <c r="G24" i="3"/>
  <c r="F24" i="3"/>
  <c r="E24" i="3"/>
  <c r="D24" i="3"/>
  <c r="B24" i="3"/>
  <c r="A24" i="3"/>
  <c r="H23" i="3"/>
  <c r="G23" i="3"/>
  <c r="F23" i="3"/>
  <c r="E23" i="3"/>
  <c r="D23" i="3"/>
  <c r="B23" i="3"/>
  <c r="A23" i="3"/>
  <c r="H22" i="3"/>
  <c r="G22" i="3"/>
  <c r="F22" i="3"/>
  <c r="E22" i="3"/>
  <c r="D22" i="3"/>
  <c r="B22" i="3"/>
  <c r="A22" i="3"/>
  <c r="H21" i="3"/>
  <c r="G21" i="3"/>
  <c r="F21" i="3"/>
  <c r="E21" i="3"/>
  <c r="D21" i="3"/>
  <c r="B21" i="3"/>
  <c r="A21" i="3"/>
  <c r="H20" i="3"/>
  <c r="G20" i="3"/>
  <c r="F20" i="3"/>
  <c r="E20" i="3"/>
  <c r="D20" i="3"/>
  <c r="B20" i="3"/>
  <c r="A20" i="3"/>
  <c r="H19" i="3"/>
  <c r="G19" i="3"/>
  <c r="F19" i="3"/>
  <c r="E19" i="3"/>
  <c r="D19" i="3"/>
  <c r="B19" i="3"/>
  <c r="A19" i="3"/>
  <c r="H18" i="3"/>
  <c r="G18" i="3"/>
  <c r="F18" i="3"/>
  <c r="E18" i="3"/>
  <c r="D18" i="3"/>
  <c r="B18" i="3"/>
  <c r="A18" i="3"/>
  <c r="H17" i="3"/>
  <c r="G17" i="3"/>
  <c r="F17" i="3"/>
  <c r="E17" i="3"/>
  <c r="D17" i="3"/>
  <c r="B17" i="3"/>
  <c r="A17" i="3"/>
  <c r="H16" i="3"/>
  <c r="G16" i="3"/>
  <c r="F16" i="3"/>
  <c r="E16" i="3"/>
  <c r="D16" i="3"/>
  <c r="B16" i="3"/>
  <c r="A16" i="3"/>
  <c r="H15" i="3"/>
  <c r="G15" i="3"/>
  <c r="F15" i="3"/>
  <c r="E15" i="3"/>
  <c r="D15" i="3"/>
  <c r="B15" i="3"/>
  <c r="A15" i="3"/>
  <c r="H14" i="3"/>
  <c r="G14" i="3"/>
  <c r="F14" i="3"/>
  <c r="E14" i="3"/>
  <c r="D14" i="3"/>
  <c r="B14" i="3"/>
  <c r="A14" i="3"/>
  <c r="H13" i="3"/>
  <c r="G13" i="3"/>
  <c r="F13" i="3"/>
  <c r="E13" i="3"/>
  <c r="D13" i="3"/>
  <c r="B13" i="3"/>
  <c r="A13" i="3"/>
  <c r="H12" i="3"/>
  <c r="G12" i="3"/>
  <c r="F12" i="3"/>
  <c r="E12" i="3"/>
  <c r="D12" i="3"/>
  <c r="B12" i="3"/>
  <c r="A12" i="3"/>
  <c r="H11" i="3"/>
  <c r="G11" i="3"/>
  <c r="F11" i="3"/>
  <c r="E11" i="3"/>
  <c r="D11" i="3"/>
  <c r="B11" i="3"/>
  <c r="A11" i="3"/>
  <c r="H10" i="3"/>
  <c r="G10" i="3"/>
  <c r="F10" i="3"/>
  <c r="E10" i="3"/>
  <c r="D10" i="3"/>
  <c r="B10" i="3"/>
  <c r="A10" i="3"/>
  <c r="H9" i="3"/>
  <c r="G9" i="3"/>
  <c r="F9" i="3"/>
  <c r="E9" i="3"/>
  <c r="D9" i="3"/>
  <c r="B9" i="3"/>
  <c r="A9" i="3"/>
  <c r="H8" i="3"/>
  <c r="G8" i="3"/>
  <c r="F8" i="3"/>
  <c r="E8" i="3"/>
  <c r="D8" i="3"/>
  <c r="B8" i="3"/>
  <c r="A8" i="3"/>
  <c r="H7" i="3"/>
  <c r="G7" i="3"/>
  <c r="F7" i="3"/>
  <c r="E7" i="3"/>
  <c r="D7" i="3"/>
  <c r="B7" i="3"/>
  <c r="A7" i="3"/>
  <c r="H6" i="3"/>
  <c r="G6" i="3"/>
  <c r="F6" i="3"/>
  <c r="E6" i="3"/>
  <c r="D6" i="3"/>
  <c r="B6" i="3"/>
  <c r="A6" i="3"/>
  <c r="H5" i="3"/>
  <c r="G5" i="3"/>
  <c r="F5" i="3"/>
  <c r="E5" i="3"/>
  <c r="D5" i="3"/>
  <c r="B5" i="3"/>
  <c r="A5" i="3"/>
  <c r="EH105" i="2"/>
  <c r="EG105" i="2"/>
  <c r="EF105" i="2"/>
  <c r="EE105" i="2"/>
  <c r="ED105" i="2"/>
  <c r="EC105" i="2"/>
  <c r="EB105" i="2"/>
  <c r="EA105" i="2"/>
  <c r="DZ105" i="2"/>
  <c r="DY105" i="2"/>
  <c r="DX105" i="2"/>
  <c r="DW105" i="2"/>
  <c r="DV105" i="2"/>
  <c r="DU105" i="2"/>
  <c r="DT105" i="2"/>
  <c r="DS105" i="2"/>
  <c r="DR105" i="2"/>
  <c r="DQ105" i="2"/>
  <c r="DP105" i="2"/>
  <c r="DO105" i="2"/>
  <c r="DN105" i="2"/>
  <c r="DM105" i="2"/>
  <c r="DL105" i="2"/>
  <c r="DK105" i="2"/>
  <c r="DJ105" i="2"/>
  <c r="DI105" i="2"/>
  <c r="DH105" i="2"/>
  <c r="DG105" i="2"/>
  <c r="DF105" i="2"/>
  <c r="DE105" i="2"/>
  <c r="DD105" i="2"/>
  <c r="DC105" i="2"/>
  <c r="DB105" i="2"/>
  <c r="DA105" i="2"/>
  <c r="CZ105" i="2"/>
  <c r="CY105" i="2"/>
  <c r="CX105" i="2"/>
  <c r="CW105" i="2"/>
  <c r="CV105" i="2"/>
  <c r="CU105" i="2"/>
  <c r="CT105" i="2"/>
  <c r="CS105" i="2"/>
  <c r="CR105" i="2"/>
  <c r="CQ105" i="2"/>
  <c r="CP105" i="2"/>
  <c r="CO105" i="2"/>
  <c r="CN105" i="2"/>
  <c r="CM105" i="2"/>
  <c r="CL105" i="2"/>
  <c r="CK105" i="2"/>
  <c r="CJ105" i="2"/>
  <c r="CI105" i="2"/>
  <c r="CH105" i="2"/>
  <c r="CG105" i="2"/>
  <c r="CF105" i="2"/>
  <c r="CE105" i="2"/>
  <c r="CD105" i="2"/>
  <c r="CC105" i="2"/>
  <c r="CB105" i="2"/>
  <c r="CA105" i="2"/>
  <c r="BZ105" i="2"/>
  <c r="BY105" i="2"/>
  <c r="BX105" i="2"/>
  <c r="BW105" i="2"/>
  <c r="BV105" i="2"/>
  <c r="BU105" i="2"/>
  <c r="BT105" i="2"/>
  <c r="BS105" i="2"/>
  <c r="BR105" i="2"/>
  <c r="BQ105" i="2"/>
  <c r="BP105" i="2"/>
  <c r="BO105" i="2"/>
  <c r="BN105" i="2"/>
  <c r="BM105" i="2"/>
  <c r="BL105" i="2"/>
  <c r="BK105" i="2"/>
  <c r="BJ105" i="2"/>
  <c r="BI105" i="2"/>
  <c r="BH105" i="2"/>
  <c r="BG105" i="2"/>
  <c r="BF105" i="2"/>
  <c r="BE105" i="2"/>
  <c r="BD105" i="2"/>
  <c r="BC105" i="2"/>
  <c r="BB105" i="2"/>
  <c r="BA105" i="2"/>
  <c r="AZ105" i="2"/>
  <c r="AY105" i="2"/>
  <c r="AX105" i="2"/>
  <c r="AW105" i="2"/>
  <c r="AV105" i="2"/>
  <c r="AU105" i="2"/>
  <c r="AT105" i="2"/>
  <c r="AS105" i="2"/>
  <c r="AR105" i="2"/>
  <c r="AQ105" i="2"/>
  <c r="AP105" i="2"/>
  <c r="AO105" i="2"/>
  <c r="AN105" i="2"/>
  <c r="AM105" i="2"/>
  <c r="AL105" i="2"/>
  <c r="AK105" i="2"/>
  <c r="AJ105" i="2"/>
  <c r="AI105" i="2"/>
  <c r="AH105" i="2"/>
  <c r="AG105" i="2"/>
  <c r="AF105" i="2"/>
  <c r="AE105" i="2"/>
  <c r="AD105" i="2"/>
  <c r="AC105" i="2"/>
  <c r="AB105" i="2"/>
  <c r="AA105" i="2"/>
  <c r="Z105" i="2"/>
  <c r="Y105" i="2"/>
  <c r="X105" i="2"/>
  <c r="W105" i="2"/>
  <c r="V105" i="2"/>
  <c r="U105" i="2"/>
  <c r="T105" i="2"/>
  <c r="S105" i="2"/>
  <c r="R105" i="2"/>
  <c r="Q105" i="2"/>
  <c r="P105" i="2"/>
  <c r="O105" i="2"/>
  <c r="N105" i="2"/>
  <c r="M105" i="2"/>
  <c r="L105" i="2"/>
  <c r="K105" i="2"/>
  <c r="J105" i="2"/>
  <c r="I105" i="2"/>
  <c r="H105" i="2"/>
  <c r="G105" i="2"/>
  <c r="EH104" i="2"/>
  <c r="EG104" i="2"/>
  <c r="EF104" i="2"/>
  <c r="EE104" i="2"/>
  <c r="ED104" i="2"/>
  <c r="EC104" i="2"/>
  <c r="EB104" i="2"/>
  <c r="EA104" i="2"/>
  <c r="DZ104" i="2"/>
  <c r="DY104" i="2"/>
  <c r="DX104" i="2"/>
  <c r="DW104" i="2"/>
  <c r="DV104" i="2"/>
  <c r="DU104" i="2"/>
  <c r="DT104" i="2"/>
  <c r="DS104" i="2"/>
  <c r="DR104" i="2"/>
  <c r="DQ104" i="2"/>
  <c r="DP104" i="2"/>
  <c r="DO104" i="2"/>
  <c r="DN104" i="2"/>
  <c r="DM104" i="2"/>
  <c r="DL104" i="2"/>
  <c r="DK104" i="2"/>
  <c r="DJ104" i="2"/>
  <c r="DI104" i="2"/>
  <c r="DH104" i="2"/>
  <c r="DG104" i="2"/>
  <c r="DF104" i="2"/>
  <c r="DE104" i="2"/>
  <c r="DD104" i="2"/>
  <c r="DC104" i="2"/>
  <c r="DB104" i="2"/>
  <c r="DA104" i="2"/>
  <c r="CZ104" i="2"/>
  <c r="CY104" i="2"/>
  <c r="CX104" i="2"/>
  <c r="CW104" i="2"/>
  <c r="CV104" i="2"/>
  <c r="CU104" i="2"/>
  <c r="CT104" i="2"/>
  <c r="CS104" i="2"/>
  <c r="CR104" i="2"/>
  <c r="CQ104" i="2"/>
  <c r="CP104" i="2"/>
  <c r="CO104" i="2"/>
  <c r="CN104" i="2"/>
  <c r="CM104" i="2"/>
  <c r="CL104" i="2"/>
  <c r="CK104" i="2"/>
  <c r="CJ104" i="2"/>
  <c r="CI104" i="2"/>
  <c r="CH104" i="2"/>
  <c r="CG104" i="2"/>
  <c r="CF104" i="2"/>
  <c r="CE104" i="2"/>
  <c r="CD104" i="2"/>
  <c r="CC104" i="2"/>
  <c r="CB104" i="2"/>
  <c r="CA104" i="2"/>
  <c r="BZ104" i="2"/>
  <c r="BY104" i="2"/>
  <c r="BX104" i="2"/>
  <c r="BW104" i="2"/>
  <c r="BV104" i="2"/>
  <c r="BU104" i="2"/>
  <c r="BT104" i="2"/>
  <c r="BS104" i="2"/>
  <c r="BR104" i="2"/>
  <c r="BQ104" i="2"/>
  <c r="BP104" i="2"/>
  <c r="BO104" i="2"/>
  <c r="BN104" i="2"/>
  <c r="BM104" i="2"/>
  <c r="BL104" i="2"/>
  <c r="BK104" i="2"/>
  <c r="BJ104" i="2"/>
  <c r="BI104" i="2"/>
  <c r="BH104" i="2"/>
  <c r="BG104" i="2"/>
  <c r="BF104" i="2"/>
  <c r="BE104" i="2"/>
  <c r="BD104" i="2"/>
  <c r="BC104" i="2"/>
  <c r="BB104" i="2"/>
  <c r="BA104" i="2"/>
  <c r="AZ104" i="2"/>
  <c r="AY104" i="2"/>
  <c r="AX104" i="2"/>
  <c r="AW104" i="2"/>
  <c r="AV104" i="2"/>
  <c r="AU104" i="2"/>
  <c r="AT104" i="2"/>
  <c r="AS104" i="2"/>
  <c r="AR104" i="2"/>
  <c r="AQ104" i="2"/>
  <c r="AP104" i="2"/>
  <c r="AO104" i="2"/>
  <c r="AN104" i="2"/>
  <c r="AM104" i="2"/>
  <c r="AL104" i="2"/>
  <c r="AK104" i="2"/>
  <c r="AJ104" i="2"/>
  <c r="AI104" i="2"/>
  <c r="AH104" i="2"/>
  <c r="AG104" i="2"/>
  <c r="AF104" i="2"/>
  <c r="AE104" i="2"/>
  <c r="AD104" i="2"/>
  <c r="AC104" i="2"/>
  <c r="AB104" i="2"/>
  <c r="AA104" i="2"/>
  <c r="Z104" i="2"/>
  <c r="Y104" i="2"/>
  <c r="X104" i="2"/>
  <c r="W104" i="2"/>
  <c r="V104" i="2"/>
  <c r="U104" i="2"/>
  <c r="T104" i="2"/>
  <c r="S104" i="2"/>
  <c r="R104" i="2"/>
  <c r="Q104" i="2"/>
  <c r="P104" i="2"/>
  <c r="O104" i="2"/>
  <c r="N104" i="2"/>
  <c r="M104" i="2"/>
  <c r="L104" i="2"/>
  <c r="K104" i="2"/>
  <c r="J104" i="2"/>
  <c r="I104" i="2"/>
  <c r="H104" i="2"/>
  <c r="G104" i="2"/>
  <c r="EH103" i="2"/>
  <c r="EG103" i="2"/>
  <c r="EF103" i="2"/>
  <c r="EE103" i="2"/>
  <c r="ED103" i="2"/>
  <c r="EC103" i="2"/>
  <c r="EB103" i="2"/>
  <c r="EA103" i="2"/>
  <c r="DZ103" i="2"/>
  <c r="DY103" i="2"/>
  <c r="DX103" i="2"/>
  <c r="DW103" i="2"/>
  <c r="DV103" i="2"/>
  <c r="DU103" i="2"/>
  <c r="DT103" i="2"/>
  <c r="DS103" i="2"/>
  <c r="DR103" i="2"/>
  <c r="DQ103" i="2"/>
  <c r="DP103" i="2"/>
  <c r="DO103" i="2"/>
  <c r="DN103" i="2"/>
  <c r="DM103" i="2"/>
  <c r="DL103" i="2"/>
  <c r="DK103" i="2"/>
  <c r="DJ103" i="2"/>
  <c r="DI103" i="2"/>
  <c r="DH103" i="2"/>
  <c r="DG103" i="2"/>
  <c r="DF103" i="2"/>
  <c r="DE103" i="2"/>
  <c r="DD103" i="2"/>
  <c r="DC103" i="2"/>
  <c r="DB103" i="2"/>
  <c r="DA103" i="2"/>
  <c r="CZ103" i="2"/>
  <c r="CY103" i="2"/>
  <c r="CX103" i="2"/>
  <c r="CW103" i="2"/>
  <c r="CV103" i="2"/>
  <c r="CU103" i="2"/>
  <c r="CT103" i="2"/>
  <c r="CS103" i="2"/>
  <c r="CR103" i="2"/>
  <c r="CQ103" i="2"/>
  <c r="CP103" i="2"/>
  <c r="CO103" i="2"/>
  <c r="CN103" i="2"/>
  <c r="CM103" i="2"/>
  <c r="CL103" i="2"/>
  <c r="CK103" i="2"/>
  <c r="CJ103" i="2"/>
  <c r="CI103" i="2"/>
  <c r="CH103" i="2"/>
  <c r="CG103" i="2"/>
  <c r="CF103" i="2"/>
  <c r="CE103" i="2"/>
  <c r="CD103" i="2"/>
  <c r="CC103" i="2"/>
  <c r="CB103" i="2"/>
  <c r="CA103" i="2"/>
  <c r="BZ103" i="2"/>
  <c r="BY103" i="2"/>
  <c r="BX103" i="2"/>
  <c r="BW103" i="2"/>
  <c r="BV103" i="2"/>
  <c r="BU103" i="2"/>
  <c r="BT103" i="2"/>
  <c r="BS103" i="2"/>
  <c r="BR103" i="2"/>
  <c r="BQ103" i="2"/>
  <c r="BP103" i="2"/>
  <c r="BO103" i="2"/>
  <c r="BN103" i="2"/>
  <c r="BM103" i="2"/>
  <c r="BL103" i="2"/>
  <c r="BK103" i="2"/>
  <c r="BJ103" i="2"/>
  <c r="BI103" i="2"/>
  <c r="BH103" i="2"/>
  <c r="BG103" i="2"/>
  <c r="BF103" i="2"/>
  <c r="BE103" i="2"/>
  <c r="BD103" i="2"/>
  <c r="BC103" i="2"/>
  <c r="BB103" i="2"/>
  <c r="BA103" i="2"/>
  <c r="AZ103" i="2"/>
  <c r="AY103" i="2"/>
  <c r="AX103" i="2"/>
  <c r="AW103" i="2"/>
  <c r="AV103" i="2"/>
  <c r="AU103" i="2"/>
  <c r="AT103" i="2"/>
  <c r="AS103" i="2"/>
  <c r="AR103" i="2"/>
  <c r="AQ103" i="2"/>
  <c r="AP103" i="2"/>
  <c r="AO103" i="2"/>
  <c r="AN103" i="2"/>
  <c r="AM103" i="2"/>
  <c r="AL103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EH102" i="2"/>
  <c r="EG102" i="2"/>
  <c r="EF102" i="2"/>
  <c r="EE102" i="2"/>
  <c r="ED102" i="2"/>
  <c r="EC102" i="2"/>
  <c r="EB102" i="2"/>
  <c r="EA102" i="2"/>
  <c r="DZ102" i="2"/>
  <c r="DY102" i="2"/>
  <c r="DX102" i="2"/>
  <c r="DW102" i="2"/>
  <c r="DV102" i="2"/>
  <c r="DU102" i="2"/>
  <c r="DT102" i="2"/>
  <c r="DS102" i="2"/>
  <c r="DR102" i="2"/>
  <c r="DQ102" i="2"/>
  <c r="DP102" i="2"/>
  <c r="DO102" i="2"/>
  <c r="DN102" i="2"/>
  <c r="DM102" i="2"/>
  <c r="DL102" i="2"/>
  <c r="DK102" i="2"/>
  <c r="DJ102" i="2"/>
  <c r="DI102" i="2"/>
  <c r="DH102" i="2"/>
  <c r="DG102" i="2"/>
  <c r="DF102" i="2"/>
  <c r="DE102" i="2"/>
  <c r="DD102" i="2"/>
  <c r="DC102" i="2"/>
  <c r="DB102" i="2"/>
  <c r="DA102" i="2"/>
  <c r="CZ102" i="2"/>
  <c r="CY102" i="2"/>
  <c r="CX102" i="2"/>
  <c r="CW102" i="2"/>
  <c r="CV102" i="2"/>
  <c r="CU102" i="2"/>
  <c r="CT102" i="2"/>
  <c r="CS102" i="2"/>
  <c r="CR102" i="2"/>
  <c r="CQ102" i="2"/>
  <c r="CP102" i="2"/>
  <c r="CO102" i="2"/>
  <c r="CN102" i="2"/>
  <c r="CM102" i="2"/>
  <c r="CL102" i="2"/>
  <c r="CK102" i="2"/>
  <c r="CJ102" i="2"/>
  <c r="CI102" i="2"/>
  <c r="CH102" i="2"/>
  <c r="CG102" i="2"/>
  <c r="CF102" i="2"/>
  <c r="CE102" i="2"/>
  <c r="CD102" i="2"/>
  <c r="CC102" i="2"/>
  <c r="CB102" i="2"/>
  <c r="CA102" i="2"/>
  <c r="BZ102" i="2"/>
  <c r="BY102" i="2"/>
  <c r="BX102" i="2"/>
  <c r="BW102" i="2"/>
  <c r="BV102" i="2"/>
  <c r="BU102" i="2"/>
  <c r="BT102" i="2"/>
  <c r="BS102" i="2"/>
  <c r="BR102" i="2"/>
  <c r="BQ102" i="2"/>
  <c r="BP102" i="2"/>
  <c r="BO102" i="2"/>
  <c r="BN102" i="2"/>
  <c r="BM102" i="2"/>
  <c r="BL102" i="2"/>
  <c r="BK102" i="2"/>
  <c r="BJ102" i="2"/>
  <c r="BI102" i="2"/>
  <c r="BH102" i="2"/>
  <c r="BG102" i="2"/>
  <c r="BF102" i="2"/>
  <c r="BE102" i="2"/>
  <c r="BD102" i="2"/>
  <c r="BC102" i="2"/>
  <c r="BB102" i="2"/>
  <c r="BA102" i="2"/>
  <c r="AZ102" i="2"/>
  <c r="AY102" i="2"/>
  <c r="AX102" i="2"/>
  <c r="AW102" i="2"/>
  <c r="AV102" i="2"/>
  <c r="AU102" i="2"/>
  <c r="AT102" i="2"/>
  <c r="AS102" i="2"/>
  <c r="AR102" i="2"/>
  <c r="AQ102" i="2"/>
  <c r="AP102" i="2"/>
  <c r="AO102" i="2"/>
  <c r="AN102" i="2"/>
  <c r="AM102" i="2"/>
  <c r="AL102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EH101" i="2"/>
  <c r="EG101" i="2"/>
  <c r="EF101" i="2"/>
  <c r="EE101" i="2"/>
  <c r="ED101" i="2"/>
  <c r="EC101" i="2"/>
  <c r="EB101" i="2"/>
  <c r="EA101" i="2"/>
  <c r="DZ101" i="2"/>
  <c r="DY101" i="2"/>
  <c r="DX101" i="2"/>
  <c r="DW101" i="2"/>
  <c r="DV101" i="2"/>
  <c r="DU101" i="2"/>
  <c r="DT101" i="2"/>
  <c r="DS101" i="2"/>
  <c r="DR101" i="2"/>
  <c r="DQ101" i="2"/>
  <c r="DP101" i="2"/>
  <c r="DO101" i="2"/>
  <c r="DN101" i="2"/>
  <c r="DM101" i="2"/>
  <c r="DL101" i="2"/>
  <c r="DK101" i="2"/>
  <c r="DJ101" i="2"/>
  <c r="DI101" i="2"/>
  <c r="DH101" i="2"/>
  <c r="DG101" i="2"/>
  <c r="DF101" i="2"/>
  <c r="DE101" i="2"/>
  <c r="DD101" i="2"/>
  <c r="DC101" i="2"/>
  <c r="DB101" i="2"/>
  <c r="DA101" i="2"/>
  <c r="CZ101" i="2"/>
  <c r="CY101" i="2"/>
  <c r="CX101" i="2"/>
  <c r="CW101" i="2"/>
  <c r="CV101" i="2"/>
  <c r="CU101" i="2"/>
  <c r="CT101" i="2"/>
  <c r="CS101" i="2"/>
  <c r="CR101" i="2"/>
  <c r="CQ101" i="2"/>
  <c r="CP101" i="2"/>
  <c r="CO101" i="2"/>
  <c r="CN101" i="2"/>
  <c r="CM101" i="2"/>
  <c r="CL101" i="2"/>
  <c r="CK101" i="2"/>
  <c r="CJ101" i="2"/>
  <c r="CI101" i="2"/>
  <c r="CH101" i="2"/>
  <c r="CG101" i="2"/>
  <c r="CF101" i="2"/>
  <c r="CE101" i="2"/>
  <c r="CD101" i="2"/>
  <c r="CC101" i="2"/>
  <c r="CB101" i="2"/>
  <c r="CA101" i="2"/>
  <c r="BZ101" i="2"/>
  <c r="BY101" i="2"/>
  <c r="BX101" i="2"/>
  <c r="BW101" i="2"/>
  <c r="BV101" i="2"/>
  <c r="BU101" i="2"/>
  <c r="BT101" i="2"/>
  <c r="BS101" i="2"/>
  <c r="BR101" i="2"/>
  <c r="BQ101" i="2"/>
  <c r="BP101" i="2"/>
  <c r="BO101" i="2"/>
  <c r="BN101" i="2"/>
  <c r="BM101" i="2"/>
  <c r="BL101" i="2"/>
  <c r="BK101" i="2"/>
  <c r="BJ101" i="2"/>
  <c r="BI101" i="2"/>
  <c r="BH101" i="2"/>
  <c r="BG101" i="2"/>
  <c r="BF101" i="2"/>
  <c r="BE101" i="2"/>
  <c r="BD101" i="2"/>
  <c r="BC101" i="2"/>
  <c r="BB101" i="2"/>
  <c r="BA101" i="2"/>
  <c r="AZ101" i="2"/>
  <c r="AY101" i="2"/>
  <c r="AX101" i="2"/>
  <c r="AW101" i="2"/>
  <c r="AV101" i="2"/>
  <c r="AU101" i="2"/>
  <c r="AT101" i="2"/>
  <c r="AS101" i="2"/>
  <c r="AR101" i="2"/>
  <c r="AQ101" i="2"/>
  <c r="AP101" i="2"/>
  <c r="AO101" i="2"/>
  <c r="AN101" i="2"/>
  <c r="AM101" i="2"/>
  <c r="AL101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EH100" i="2"/>
  <c r="EG100" i="2"/>
  <c r="EF100" i="2"/>
  <c r="EE100" i="2"/>
  <c r="ED100" i="2"/>
  <c r="EC100" i="2"/>
  <c r="EB100" i="2"/>
  <c r="EA100" i="2"/>
  <c r="DZ100" i="2"/>
  <c r="DY100" i="2"/>
  <c r="DX100" i="2"/>
  <c r="DW100" i="2"/>
  <c r="DV100" i="2"/>
  <c r="DU100" i="2"/>
  <c r="DT100" i="2"/>
  <c r="DS100" i="2"/>
  <c r="DR100" i="2"/>
  <c r="DQ100" i="2"/>
  <c r="DP100" i="2"/>
  <c r="DO100" i="2"/>
  <c r="DN100" i="2"/>
  <c r="DM100" i="2"/>
  <c r="DL100" i="2"/>
  <c r="DK100" i="2"/>
  <c r="DJ100" i="2"/>
  <c r="DI100" i="2"/>
  <c r="DH100" i="2"/>
  <c r="DG100" i="2"/>
  <c r="DF100" i="2"/>
  <c r="DE100" i="2"/>
  <c r="DD100" i="2"/>
  <c r="DC100" i="2"/>
  <c r="DB100" i="2"/>
  <c r="DA100" i="2"/>
  <c r="CZ100" i="2"/>
  <c r="CY100" i="2"/>
  <c r="CX100" i="2"/>
  <c r="CW100" i="2"/>
  <c r="CV100" i="2"/>
  <c r="CU100" i="2"/>
  <c r="CT100" i="2"/>
  <c r="CS100" i="2"/>
  <c r="CR100" i="2"/>
  <c r="CQ100" i="2"/>
  <c r="CP100" i="2"/>
  <c r="CO100" i="2"/>
  <c r="CN100" i="2"/>
  <c r="CM100" i="2"/>
  <c r="CL100" i="2"/>
  <c r="CK100" i="2"/>
  <c r="CJ100" i="2"/>
  <c r="CI100" i="2"/>
  <c r="CH100" i="2"/>
  <c r="CG100" i="2"/>
  <c r="CF100" i="2"/>
  <c r="CE100" i="2"/>
  <c r="CD100" i="2"/>
  <c r="CC100" i="2"/>
  <c r="CB100" i="2"/>
  <c r="CA100" i="2"/>
  <c r="BZ100" i="2"/>
  <c r="BY100" i="2"/>
  <c r="BX100" i="2"/>
  <c r="BW100" i="2"/>
  <c r="BV100" i="2"/>
  <c r="BU100" i="2"/>
  <c r="BT100" i="2"/>
  <c r="BS100" i="2"/>
  <c r="BR100" i="2"/>
  <c r="BQ100" i="2"/>
  <c r="BP100" i="2"/>
  <c r="BO100" i="2"/>
  <c r="BN100" i="2"/>
  <c r="BM100" i="2"/>
  <c r="BL100" i="2"/>
  <c r="BK100" i="2"/>
  <c r="BJ100" i="2"/>
  <c r="BI100" i="2"/>
  <c r="BH100" i="2"/>
  <c r="BG100" i="2"/>
  <c r="BF100" i="2"/>
  <c r="BE100" i="2"/>
  <c r="BD100" i="2"/>
  <c r="BC100" i="2"/>
  <c r="BB100" i="2"/>
  <c r="BA100" i="2"/>
  <c r="AZ100" i="2"/>
  <c r="AY100" i="2"/>
  <c r="AX100" i="2"/>
  <c r="AW100" i="2"/>
  <c r="AV100" i="2"/>
  <c r="AU100" i="2"/>
  <c r="AT100" i="2"/>
  <c r="AS100" i="2"/>
  <c r="AR100" i="2"/>
  <c r="AQ100" i="2"/>
  <c r="AP100" i="2"/>
  <c r="AO100" i="2"/>
  <c r="AN100" i="2"/>
  <c r="AM100" i="2"/>
  <c r="AL100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EH98" i="2"/>
  <c r="EG98" i="2"/>
  <c r="EF98" i="2"/>
  <c r="EE98" i="2"/>
  <c r="ED98" i="2"/>
  <c r="EC98" i="2"/>
  <c r="EB98" i="2"/>
  <c r="EA98" i="2"/>
  <c r="DZ98" i="2"/>
  <c r="DY98" i="2"/>
  <c r="DX98" i="2"/>
  <c r="DW98" i="2"/>
  <c r="DV98" i="2"/>
  <c r="DU98" i="2"/>
  <c r="DT98" i="2"/>
  <c r="DS98" i="2"/>
  <c r="DR98" i="2"/>
  <c r="DQ98" i="2"/>
  <c r="DP98" i="2"/>
  <c r="DO98" i="2"/>
  <c r="DN98" i="2"/>
  <c r="DM98" i="2"/>
  <c r="DL98" i="2"/>
  <c r="DK98" i="2"/>
  <c r="DJ98" i="2"/>
  <c r="DI98" i="2"/>
  <c r="DH98" i="2"/>
  <c r="DG98" i="2"/>
  <c r="DF98" i="2"/>
  <c r="DE98" i="2"/>
  <c r="DD98" i="2"/>
  <c r="DC98" i="2"/>
  <c r="DB98" i="2"/>
  <c r="DA98" i="2"/>
  <c r="CZ98" i="2"/>
  <c r="CY98" i="2"/>
  <c r="CX98" i="2"/>
  <c r="CW98" i="2"/>
  <c r="CV98" i="2"/>
  <c r="CU98" i="2"/>
  <c r="CT98" i="2"/>
  <c r="CS98" i="2"/>
  <c r="CR98" i="2"/>
  <c r="CQ98" i="2"/>
  <c r="CP98" i="2"/>
  <c r="CO98" i="2"/>
  <c r="CN98" i="2"/>
  <c r="CM98" i="2"/>
  <c r="CL98" i="2"/>
  <c r="CK98" i="2"/>
  <c r="CJ98" i="2"/>
  <c r="CI98" i="2"/>
  <c r="CH98" i="2"/>
  <c r="CG98" i="2"/>
  <c r="CF98" i="2"/>
  <c r="CE98" i="2"/>
  <c r="CD98" i="2"/>
  <c r="CC98" i="2"/>
  <c r="CB98" i="2"/>
  <c r="CA98" i="2"/>
  <c r="BZ98" i="2"/>
  <c r="BY98" i="2"/>
  <c r="BX98" i="2"/>
  <c r="BW98" i="2"/>
  <c r="BV98" i="2"/>
  <c r="BU98" i="2"/>
  <c r="BT98" i="2"/>
  <c r="BS98" i="2"/>
  <c r="BR98" i="2"/>
  <c r="BQ98" i="2"/>
  <c r="BP98" i="2"/>
  <c r="BO98" i="2"/>
  <c r="BN98" i="2"/>
  <c r="BM98" i="2"/>
  <c r="BL98" i="2"/>
  <c r="BK98" i="2"/>
  <c r="BJ98" i="2"/>
  <c r="BI98" i="2"/>
  <c r="BH98" i="2"/>
  <c r="BG98" i="2"/>
  <c r="BF98" i="2"/>
  <c r="BE98" i="2"/>
  <c r="BD98" i="2"/>
  <c r="BC98" i="2"/>
  <c r="BB98" i="2"/>
  <c r="BA98" i="2"/>
  <c r="AZ98" i="2"/>
  <c r="AY98" i="2"/>
  <c r="AX98" i="2"/>
  <c r="AW98" i="2"/>
  <c r="AV98" i="2"/>
  <c r="AU98" i="2"/>
  <c r="AT98" i="2"/>
  <c r="AS98" i="2"/>
  <c r="AR98" i="2"/>
  <c r="AQ98" i="2"/>
  <c r="AP98" i="2"/>
  <c r="AO98" i="2"/>
  <c r="AN98" i="2"/>
  <c r="AM98" i="2"/>
  <c r="AL98" i="2"/>
  <c r="AK98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W98" i="2"/>
  <c r="V98" i="2"/>
  <c r="U98" i="2"/>
  <c r="T98" i="2"/>
  <c r="S98" i="2"/>
  <c r="R98" i="2"/>
  <c r="Q98" i="2"/>
  <c r="P98" i="2"/>
  <c r="O98" i="2"/>
  <c r="N98" i="2"/>
  <c r="M98" i="2"/>
  <c r="L98" i="2"/>
  <c r="K98" i="2"/>
  <c r="J98" i="2"/>
  <c r="I98" i="2"/>
  <c r="H98" i="2"/>
  <c r="G98" i="2"/>
  <c r="EH97" i="2"/>
  <c r="EG97" i="2"/>
  <c r="EF97" i="2"/>
  <c r="EE97" i="2"/>
  <c r="ED97" i="2"/>
  <c r="EC97" i="2"/>
  <c r="EB97" i="2"/>
  <c r="EA97" i="2"/>
  <c r="DZ97" i="2"/>
  <c r="DY97" i="2"/>
  <c r="DX97" i="2"/>
  <c r="DW97" i="2"/>
  <c r="DV97" i="2"/>
  <c r="DU97" i="2"/>
  <c r="DT97" i="2"/>
  <c r="DS97" i="2"/>
  <c r="DR97" i="2"/>
  <c r="DQ97" i="2"/>
  <c r="DP97" i="2"/>
  <c r="DO97" i="2"/>
  <c r="DN97" i="2"/>
  <c r="DM97" i="2"/>
  <c r="DL97" i="2"/>
  <c r="DK97" i="2"/>
  <c r="DJ97" i="2"/>
  <c r="DI97" i="2"/>
  <c r="DH97" i="2"/>
  <c r="DG97" i="2"/>
  <c r="DF97" i="2"/>
  <c r="DE97" i="2"/>
  <c r="DD97" i="2"/>
  <c r="DC97" i="2"/>
  <c r="DB97" i="2"/>
  <c r="DA97" i="2"/>
  <c r="CZ97" i="2"/>
  <c r="CY97" i="2"/>
  <c r="CX97" i="2"/>
  <c r="CW97" i="2"/>
  <c r="CV97" i="2"/>
  <c r="CU97" i="2"/>
  <c r="CT97" i="2"/>
  <c r="CS97" i="2"/>
  <c r="CR97" i="2"/>
  <c r="CQ97" i="2"/>
  <c r="CP97" i="2"/>
  <c r="CO97" i="2"/>
  <c r="CN97" i="2"/>
  <c r="CM97" i="2"/>
  <c r="CL97" i="2"/>
  <c r="CK97" i="2"/>
  <c r="CJ97" i="2"/>
  <c r="CI97" i="2"/>
  <c r="CH97" i="2"/>
  <c r="CG97" i="2"/>
  <c r="CF97" i="2"/>
  <c r="CE97" i="2"/>
  <c r="CD97" i="2"/>
  <c r="CC97" i="2"/>
  <c r="CB97" i="2"/>
  <c r="CA97" i="2"/>
  <c r="BZ97" i="2"/>
  <c r="BY97" i="2"/>
  <c r="BX97" i="2"/>
  <c r="BW97" i="2"/>
  <c r="BV97" i="2"/>
  <c r="BU97" i="2"/>
  <c r="BT97" i="2"/>
  <c r="BS97" i="2"/>
  <c r="BR97" i="2"/>
  <c r="BQ97" i="2"/>
  <c r="BP97" i="2"/>
  <c r="BO97" i="2"/>
  <c r="BN97" i="2"/>
  <c r="BM97" i="2"/>
  <c r="BL97" i="2"/>
  <c r="BK97" i="2"/>
  <c r="BJ97" i="2"/>
  <c r="BI97" i="2"/>
  <c r="BH97" i="2"/>
  <c r="BG97" i="2"/>
  <c r="BF97" i="2"/>
  <c r="BE97" i="2"/>
  <c r="BD97" i="2"/>
  <c r="BC97" i="2"/>
  <c r="BB97" i="2"/>
  <c r="BA97" i="2"/>
  <c r="AZ97" i="2"/>
  <c r="AY97" i="2"/>
  <c r="AX97" i="2"/>
  <c r="AW97" i="2"/>
  <c r="AV97" i="2"/>
  <c r="AU97" i="2"/>
  <c r="AT97" i="2"/>
  <c r="AS97" i="2"/>
  <c r="AR97" i="2"/>
  <c r="AQ97" i="2"/>
  <c r="AP97" i="2"/>
  <c r="AO97" i="2"/>
  <c r="AN97" i="2"/>
  <c r="AM97" i="2"/>
  <c r="AL97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EH96" i="2"/>
  <c r="EG96" i="2"/>
  <c r="EF96" i="2"/>
  <c r="EE96" i="2"/>
  <c r="ED96" i="2"/>
  <c r="EC96" i="2"/>
  <c r="EB96" i="2"/>
  <c r="EA96" i="2"/>
  <c r="DZ96" i="2"/>
  <c r="DY96" i="2"/>
  <c r="DX96" i="2"/>
  <c r="DW96" i="2"/>
  <c r="DV96" i="2"/>
  <c r="DU96" i="2"/>
  <c r="DT96" i="2"/>
  <c r="DS96" i="2"/>
  <c r="DR96" i="2"/>
  <c r="DQ96" i="2"/>
  <c r="DP96" i="2"/>
  <c r="DO96" i="2"/>
  <c r="DN96" i="2"/>
  <c r="DM96" i="2"/>
  <c r="DL96" i="2"/>
  <c r="DK96" i="2"/>
  <c r="DJ96" i="2"/>
  <c r="DI96" i="2"/>
  <c r="DH96" i="2"/>
  <c r="DG96" i="2"/>
  <c r="DF96" i="2"/>
  <c r="DE96" i="2"/>
  <c r="DD96" i="2"/>
  <c r="DC96" i="2"/>
  <c r="DB96" i="2"/>
  <c r="DA96" i="2"/>
  <c r="CZ96" i="2"/>
  <c r="CY96" i="2"/>
  <c r="CX96" i="2"/>
  <c r="CW96" i="2"/>
  <c r="CV96" i="2"/>
  <c r="CU96" i="2"/>
  <c r="CT96" i="2"/>
  <c r="CS96" i="2"/>
  <c r="CR96" i="2"/>
  <c r="CQ96" i="2"/>
  <c r="CP96" i="2"/>
  <c r="CO96" i="2"/>
  <c r="CN96" i="2"/>
  <c r="CM96" i="2"/>
  <c r="CL96" i="2"/>
  <c r="CK96" i="2"/>
  <c r="CJ96" i="2"/>
  <c r="CI96" i="2"/>
  <c r="CH96" i="2"/>
  <c r="CG96" i="2"/>
  <c r="CF96" i="2"/>
  <c r="CE96" i="2"/>
  <c r="CD96" i="2"/>
  <c r="CC96" i="2"/>
  <c r="CB96" i="2"/>
  <c r="CA96" i="2"/>
  <c r="BZ96" i="2"/>
  <c r="BY96" i="2"/>
  <c r="BX96" i="2"/>
  <c r="BW96" i="2"/>
  <c r="BV96" i="2"/>
  <c r="BU96" i="2"/>
  <c r="BT96" i="2"/>
  <c r="BS96" i="2"/>
  <c r="BR96" i="2"/>
  <c r="BQ96" i="2"/>
  <c r="BP96" i="2"/>
  <c r="BO96" i="2"/>
  <c r="BN96" i="2"/>
  <c r="BM96" i="2"/>
  <c r="BL96" i="2"/>
  <c r="BK96" i="2"/>
  <c r="BJ96" i="2"/>
  <c r="BI96" i="2"/>
  <c r="BH96" i="2"/>
  <c r="BG96" i="2"/>
  <c r="BF96" i="2"/>
  <c r="BE96" i="2"/>
  <c r="BD96" i="2"/>
  <c r="BC96" i="2"/>
  <c r="BB96" i="2"/>
  <c r="BA96" i="2"/>
  <c r="AZ96" i="2"/>
  <c r="AY96" i="2"/>
  <c r="AX96" i="2"/>
  <c r="AW96" i="2"/>
  <c r="AV96" i="2"/>
  <c r="AU96" i="2"/>
  <c r="AT96" i="2"/>
  <c r="AS96" i="2"/>
  <c r="AR96" i="2"/>
  <c r="AQ96" i="2"/>
  <c r="AP96" i="2"/>
  <c r="AO96" i="2"/>
  <c r="AN96" i="2"/>
  <c r="AM96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EH95" i="2"/>
  <c r="EG95" i="2"/>
  <c r="EF95" i="2"/>
  <c r="EE95" i="2"/>
  <c r="ED95" i="2"/>
  <c r="EC95" i="2"/>
  <c r="EB95" i="2"/>
  <c r="EA95" i="2"/>
  <c r="DZ95" i="2"/>
  <c r="DY95" i="2"/>
  <c r="DX95" i="2"/>
  <c r="DW95" i="2"/>
  <c r="DV95" i="2"/>
  <c r="DU95" i="2"/>
  <c r="DT95" i="2"/>
  <c r="DS95" i="2"/>
  <c r="DR95" i="2"/>
  <c r="DQ95" i="2"/>
  <c r="DP95" i="2"/>
  <c r="DO95" i="2"/>
  <c r="DN95" i="2"/>
  <c r="DM95" i="2"/>
  <c r="DL95" i="2"/>
  <c r="DK95" i="2"/>
  <c r="DJ95" i="2"/>
  <c r="DI95" i="2"/>
  <c r="DH95" i="2"/>
  <c r="DG95" i="2"/>
  <c r="DF95" i="2"/>
  <c r="DE95" i="2"/>
  <c r="DD95" i="2"/>
  <c r="DC95" i="2"/>
  <c r="DB95" i="2"/>
  <c r="DA95" i="2"/>
  <c r="CZ95" i="2"/>
  <c r="CY95" i="2"/>
  <c r="CX95" i="2"/>
  <c r="CW95" i="2"/>
  <c r="CV95" i="2"/>
  <c r="CU95" i="2"/>
  <c r="CT95" i="2"/>
  <c r="CS95" i="2"/>
  <c r="CR95" i="2"/>
  <c r="CQ95" i="2"/>
  <c r="CP95" i="2"/>
  <c r="CO95" i="2"/>
  <c r="CN95" i="2"/>
  <c r="CM95" i="2"/>
  <c r="CL95" i="2"/>
  <c r="CK95" i="2"/>
  <c r="CJ95" i="2"/>
  <c r="CI95" i="2"/>
  <c r="CH95" i="2"/>
  <c r="CG95" i="2"/>
  <c r="CF95" i="2"/>
  <c r="CE95" i="2"/>
  <c r="CD95" i="2"/>
  <c r="CC95" i="2"/>
  <c r="CB95" i="2"/>
  <c r="CA95" i="2"/>
  <c r="BZ95" i="2"/>
  <c r="BY95" i="2"/>
  <c r="BX95" i="2"/>
  <c r="BW95" i="2"/>
  <c r="BV95" i="2"/>
  <c r="BU95" i="2"/>
  <c r="BT95" i="2"/>
  <c r="BS95" i="2"/>
  <c r="BR95" i="2"/>
  <c r="BQ95" i="2"/>
  <c r="BP95" i="2"/>
  <c r="BO95" i="2"/>
  <c r="BN95" i="2"/>
  <c r="BM95" i="2"/>
  <c r="BL95" i="2"/>
  <c r="BK95" i="2"/>
  <c r="BJ95" i="2"/>
  <c r="BI95" i="2"/>
  <c r="BH95" i="2"/>
  <c r="BG95" i="2"/>
  <c r="BF95" i="2"/>
  <c r="BE95" i="2"/>
  <c r="BD95" i="2"/>
  <c r="BC95" i="2"/>
  <c r="BB95" i="2"/>
  <c r="BA95" i="2"/>
  <c r="AZ95" i="2"/>
  <c r="AY95" i="2"/>
  <c r="AX95" i="2"/>
  <c r="AW95" i="2"/>
  <c r="AV95" i="2"/>
  <c r="AU95" i="2"/>
  <c r="AT95" i="2"/>
  <c r="AS95" i="2"/>
  <c r="AR95" i="2"/>
  <c r="AQ95" i="2"/>
  <c r="AP95" i="2"/>
  <c r="AO95" i="2"/>
  <c r="AN95" i="2"/>
  <c r="AM95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EH94" i="2"/>
  <c r="EG94" i="2"/>
  <c r="EF94" i="2"/>
  <c r="EE94" i="2"/>
  <c r="ED94" i="2"/>
  <c r="EC94" i="2"/>
  <c r="EB94" i="2"/>
  <c r="EA94" i="2"/>
  <c r="DZ94" i="2"/>
  <c r="DY94" i="2"/>
  <c r="DX94" i="2"/>
  <c r="DW94" i="2"/>
  <c r="DV94" i="2"/>
  <c r="DU94" i="2"/>
  <c r="DT94" i="2"/>
  <c r="DS94" i="2"/>
  <c r="DR94" i="2"/>
  <c r="DQ94" i="2"/>
  <c r="DP94" i="2"/>
  <c r="DO94" i="2"/>
  <c r="DN94" i="2"/>
  <c r="DM94" i="2"/>
  <c r="DL94" i="2"/>
  <c r="DK94" i="2"/>
  <c r="DJ94" i="2"/>
  <c r="DI94" i="2"/>
  <c r="DH94" i="2"/>
  <c r="DG94" i="2"/>
  <c r="DF94" i="2"/>
  <c r="DE94" i="2"/>
  <c r="DD94" i="2"/>
  <c r="DC94" i="2"/>
  <c r="DB94" i="2"/>
  <c r="DA94" i="2"/>
  <c r="CZ94" i="2"/>
  <c r="CY94" i="2"/>
  <c r="CX94" i="2"/>
  <c r="CW94" i="2"/>
  <c r="CV94" i="2"/>
  <c r="CU94" i="2"/>
  <c r="CT94" i="2"/>
  <c r="CS94" i="2"/>
  <c r="CR94" i="2"/>
  <c r="CQ94" i="2"/>
  <c r="CP94" i="2"/>
  <c r="CO94" i="2"/>
  <c r="CN94" i="2"/>
  <c r="CM94" i="2"/>
  <c r="CL94" i="2"/>
  <c r="CK94" i="2"/>
  <c r="CJ94" i="2"/>
  <c r="CI94" i="2"/>
  <c r="CH94" i="2"/>
  <c r="CG94" i="2"/>
  <c r="CF94" i="2"/>
  <c r="CE94" i="2"/>
  <c r="CD94" i="2"/>
  <c r="CC94" i="2"/>
  <c r="CB94" i="2"/>
  <c r="CA94" i="2"/>
  <c r="BZ94" i="2"/>
  <c r="BY94" i="2"/>
  <c r="BX94" i="2"/>
  <c r="BW94" i="2"/>
  <c r="BV94" i="2"/>
  <c r="BU94" i="2"/>
  <c r="BT94" i="2"/>
  <c r="BS94" i="2"/>
  <c r="BR94" i="2"/>
  <c r="BQ94" i="2"/>
  <c r="BP94" i="2"/>
  <c r="BO94" i="2"/>
  <c r="BN94" i="2"/>
  <c r="BM94" i="2"/>
  <c r="BL94" i="2"/>
  <c r="BK94" i="2"/>
  <c r="BJ94" i="2"/>
  <c r="BI94" i="2"/>
  <c r="BH94" i="2"/>
  <c r="BG94" i="2"/>
  <c r="BF94" i="2"/>
  <c r="BE94" i="2"/>
  <c r="BD94" i="2"/>
  <c r="BC94" i="2"/>
  <c r="BB94" i="2"/>
  <c r="BA94" i="2"/>
  <c r="AZ94" i="2"/>
  <c r="AY94" i="2"/>
  <c r="AX94" i="2"/>
  <c r="AW94" i="2"/>
  <c r="AV94" i="2"/>
  <c r="AU94" i="2"/>
  <c r="AT94" i="2"/>
  <c r="AS94" i="2"/>
  <c r="AR94" i="2"/>
  <c r="AQ94" i="2"/>
  <c r="AP94" i="2"/>
  <c r="AO94" i="2"/>
  <c r="AN94" i="2"/>
  <c r="AM94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EH93" i="2"/>
  <c r="EG93" i="2"/>
  <c r="EF93" i="2"/>
  <c r="EE93" i="2"/>
  <c r="ED93" i="2"/>
  <c r="EC93" i="2"/>
  <c r="EB93" i="2"/>
  <c r="EA93" i="2"/>
  <c r="DZ93" i="2"/>
  <c r="DY93" i="2"/>
  <c r="DX93" i="2"/>
  <c r="DW93" i="2"/>
  <c r="DV93" i="2"/>
  <c r="DU93" i="2"/>
  <c r="DT93" i="2"/>
  <c r="DS93" i="2"/>
  <c r="DR93" i="2"/>
  <c r="DQ93" i="2"/>
  <c r="DP93" i="2"/>
  <c r="DO93" i="2"/>
  <c r="DN93" i="2"/>
  <c r="DM93" i="2"/>
  <c r="DL93" i="2"/>
  <c r="DK93" i="2"/>
  <c r="DJ93" i="2"/>
  <c r="DI93" i="2"/>
  <c r="DH93" i="2"/>
  <c r="DG93" i="2"/>
  <c r="DF93" i="2"/>
  <c r="DE93" i="2"/>
  <c r="DD93" i="2"/>
  <c r="DC93" i="2"/>
  <c r="DB93" i="2"/>
  <c r="DA93" i="2"/>
  <c r="CZ93" i="2"/>
  <c r="CY93" i="2"/>
  <c r="CX93" i="2"/>
  <c r="CW93" i="2"/>
  <c r="CV93" i="2"/>
  <c r="CU93" i="2"/>
  <c r="CT93" i="2"/>
  <c r="CS93" i="2"/>
  <c r="CR93" i="2"/>
  <c r="CQ93" i="2"/>
  <c r="CP93" i="2"/>
  <c r="CO93" i="2"/>
  <c r="CN93" i="2"/>
  <c r="CM93" i="2"/>
  <c r="CL93" i="2"/>
  <c r="CK93" i="2"/>
  <c r="CJ93" i="2"/>
  <c r="CI93" i="2"/>
  <c r="CH93" i="2"/>
  <c r="CG93" i="2"/>
  <c r="CF93" i="2"/>
  <c r="CE93" i="2"/>
  <c r="CD93" i="2"/>
  <c r="CC93" i="2"/>
  <c r="CB93" i="2"/>
  <c r="CA93" i="2"/>
  <c r="BZ93" i="2"/>
  <c r="BY93" i="2"/>
  <c r="BX93" i="2"/>
  <c r="BW93" i="2"/>
  <c r="BV93" i="2"/>
  <c r="BU93" i="2"/>
  <c r="BT93" i="2"/>
  <c r="BS93" i="2"/>
  <c r="BR93" i="2"/>
  <c r="BQ93" i="2"/>
  <c r="BP93" i="2"/>
  <c r="BO93" i="2"/>
  <c r="BN93" i="2"/>
  <c r="BM93" i="2"/>
  <c r="BL93" i="2"/>
  <c r="BK93" i="2"/>
  <c r="BJ93" i="2"/>
  <c r="BI93" i="2"/>
  <c r="BH93" i="2"/>
  <c r="BG93" i="2"/>
  <c r="BF93" i="2"/>
  <c r="BE93" i="2"/>
  <c r="BD93" i="2"/>
  <c r="BC93" i="2"/>
  <c r="BB93" i="2"/>
  <c r="BA93" i="2"/>
  <c r="AZ93" i="2"/>
  <c r="AY93" i="2"/>
  <c r="AX93" i="2"/>
  <c r="AW93" i="2"/>
  <c r="AV93" i="2"/>
  <c r="AU93" i="2"/>
  <c r="AT93" i="2"/>
  <c r="AS93" i="2"/>
  <c r="AR93" i="2"/>
  <c r="AQ93" i="2"/>
  <c r="AP93" i="2"/>
  <c r="AO93" i="2"/>
  <c r="AN93" i="2"/>
  <c r="AM93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EH91" i="2"/>
  <c r="EG91" i="2"/>
  <c r="EF91" i="2"/>
  <c r="EE91" i="2"/>
  <c r="ED91" i="2"/>
  <c r="EC91" i="2"/>
  <c r="EB91" i="2"/>
  <c r="EA91" i="2"/>
  <c r="DZ91" i="2"/>
  <c r="DY91" i="2"/>
  <c r="DX91" i="2"/>
  <c r="DW91" i="2"/>
  <c r="DV91" i="2"/>
  <c r="DU91" i="2"/>
  <c r="DT91" i="2"/>
  <c r="DS91" i="2"/>
  <c r="DR91" i="2"/>
  <c r="DQ91" i="2"/>
  <c r="DP91" i="2"/>
  <c r="DO91" i="2"/>
  <c r="DN91" i="2"/>
  <c r="DM91" i="2"/>
  <c r="DL91" i="2"/>
  <c r="DK91" i="2"/>
  <c r="DJ91" i="2"/>
  <c r="DI91" i="2"/>
  <c r="DH91" i="2"/>
  <c r="DG91" i="2"/>
  <c r="DF91" i="2"/>
  <c r="DE91" i="2"/>
  <c r="DD91" i="2"/>
  <c r="DC91" i="2"/>
  <c r="DB91" i="2"/>
  <c r="DA91" i="2"/>
  <c r="CZ91" i="2"/>
  <c r="CY91" i="2"/>
  <c r="CX91" i="2"/>
  <c r="CW91" i="2"/>
  <c r="CV91" i="2"/>
  <c r="CU91" i="2"/>
  <c r="CT91" i="2"/>
  <c r="CS91" i="2"/>
  <c r="CR91" i="2"/>
  <c r="CQ91" i="2"/>
  <c r="CP91" i="2"/>
  <c r="CO91" i="2"/>
  <c r="CN91" i="2"/>
  <c r="CM91" i="2"/>
  <c r="CL91" i="2"/>
  <c r="CK91" i="2"/>
  <c r="CJ91" i="2"/>
  <c r="CI91" i="2"/>
  <c r="CH91" i="2"/>
  <c r="CG91" i="2"/>
  <c r="CF91" i="2"/>
  <c r="CE91" i="2"/>
  <c r="CD91" i="2"/>
  <c r="CC91" i="2"/>
  <c r="CB91" i="2"/>
  <c r="CA91" i="2"/>
  <c r="BZ91" i="2"/>
  <c r="BY91" i="2"/>
  <c r="BX91" i="2"/>
  <c r="BW91" i="2"/>
  <c r="BV91" i="2"/>
  <c r="BU91" i="2"/>
  <c r="BT91" i="2"/>
  <c r="BS91" i="2"/>
  <c r="BR91" i="2"/>
  <c r="BQ91" i="2"/>
  <c r="BP91" i="2"/>
  <c r="BO91" i="2"/>
  <c r="BN91" i="2"/>
  <c r="BM91" i="2"/>
  <c r="BL91" i="2"/>
  <c r="BK91" i="2"/>
  <c r="BJ91" i="2"/>
  <c r="BI91" i="2"/>
  <c r="BH91" i="2"/>
  <c r="BG91" i="2"/>
  <c r="BF91" i="2"/>
  <c r="BE91" i="2"/>
  <c r="BD91" i="2"/>
  <c r="BC91" i="2"/>
  <c r="BB91" i="2"/>
  <c r="BA91" i="2"/>
  <c r="AZ91" i="2"/>
  <c r="AY91" i="2"/>
  <c r="AX91" i="2"/>
  <c r="AW91" i="2"/>
  <c r="AV91" i="2"/>
  <c r="AU91" i="2"/>
  <c r="AT91" i="2"/>
  <c r="AS91" i="2"/>
  <c r="AR91" i="2"/>
  <c r="AQ91" i="2"/>
  <c r="AP91" i="2"/>
  <c r="AO91" i="2"/>
  <c r="AN91" i="2"/>
  <c r="AM91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EH90" i="2"/>
  <c r="EG90" i="2"/>
  <c r="EF90" i="2"/>
  <c r="EE90" i="2"/>
  <c r="ED90" i="2"/>
  <c r="EC90" i="2"/>
  <c r="EB90" i="2"/>
  <c r="EA90" i="2"/>
  <c r="DZ90" i="2"/>
  <c r="DY90" i="2"/>
  <c r="DX90" i="2"/>
  <c r="DW90" i="2"/>
  <c r="DV90" i="2"/>
  <c r="DU90" i="2"/>
  <c r="DT90" i="2"/>
  <c r="DS90" i="2"/>
  <c r="DR90" i="2"/>
  <c r="DQ90" i="2"/>
  <c r="DP90" i="2"/>
  <c r="DO90" i="2"/>
  <c r="DN90" i="2"/>
  <c r="DM90" i="2"/>
  <c r="DL90" i="2"/>
  <c r="DK90" i="2"/>
  <c r="DJ90" i="2"/>
  <c r="DI90" i="2"/>
  <c r="DH90" i="2"/>
  <c r="DG90" i="2"/>
  <c r="DF90" i="2"/>
  <c r="DE90" i="2"/>
  <c r="DD90" i="2"/>
  <c r="DC90" i="2"/>
  <c r="DB90" i="2"/>
  <c r="DA90" i="2"/>
  <c r="CZ90" i="2"/>
  <c r="CY90" i="2"/>
  <c r="CX90" i="2"/>
  <c r="CW90" i="2"/>
  <c r="CV90" i="2"/>
  <c r="CU90" i="2"/>
  <c r="CT90" i="2"/>
  <c r="CS90" i="2"/>
  <c r="CR90" i="2"/>
  <c r="CQ90" i="2"/>
  <c r="CP90" i="2"/>
  <c r="CO90" i="2"/>
  <c r="CN90" i="2"/>
  <c r="CM90" i="2"/>
  <c r="CL90" i="2"/>
  <c r="CK90" i="2"/>
  <c r="CJ90" i="2"/>
  <c r="CI90" i="2"/>
  <c r="CH90" i="2"/>
  <c r="CG90" i="2"/>
  <c r="CF90" i="2"/>
  <c r="CE90" i="2"/>
  <c r="CD90" i="2"/>
  <c r="CC90" i="2"/>
  <c r="CB90" i="2"/>
  <c r="CA90" i="2"/>
  <c r="BZ90" i="2"/>
  <c r="BY90" i="2"/>
  <c r="BX90" i="2"/>
  <c r="BW90" i="2"/>
  <c r="BV90" i="2"/>
  <c r="BU90" i="2"/>
  <c r="BT90" i="2"/>
  <c r="BS90" i="2"/>
  <c r="BR90" i="2"/>
  <c r="BQ90" i="2"/>
  <c r="BP90" i="2"/>
  <c r="BO90" i="2"/>
  <c r="BN90" i="2"/>
  <c r="BM90" i="2"/>
  <c r="BL90" i="2"/>
  <c r="BK90" i="2"/>
  <c r="BJ90" i="2"/>
  <c r="BI90" i="2"/>
  <c r="BH90" i="2"/>
  <c r="BG90" i="2"/>
  <c r="BF90" i="2"/>
  <c r="BE90" i="2"/>
  <c r="BD90" i="2"/>
  <c r="BC90" i="2"/>
  <c r="BB90" i="2"/>
  <c r="BA90" i="2"/>
  <c r="AZ90" i="2"/>
  <c r="AY90" i="2"/>
  <c r="AX90" i="2"/>
  <c r="AW90" i="2"/>
  <c r="AV90" i="2"/>
  <c r="AU90" i="2"/>
  <c r="AT90" i="2"/>
  <c r="AS90" i="2"/>
  <c r="AR90" i="2"/>
  <c r="AQ90" i="2"/>
  <c r="AP90" i="2"/>
  <c r="AO90" i="2"/>
  <c r="AN90" i="2"/>
  <c r="AM90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EH89" i="2"/>
  <c r="EG89" i="2"/>
  <c r="EF89" i="2"/>
  <c r="EE89" i="2"/>
  <c r="ED89" i="2"/>
  <c r="EC89" i="2"/>
  <c r="EB89" i="2"/>
  <c r="EA89" i="2"/>
  <c r="DZ89" i="2"/>
  <c r="DY89" i="2"/>
  <c r="DX89" i="2"/>
  <c r="DW89" i="2"/>
  <c r="DV89" i="2"/>
  <c r="DU89" i="2"/>
  <c r="DT89" i="2"/>
  <c r="DS89" i="2"/>
  <c r="DR89" i="2"/>
  <c r="DQ89" i="2"/>
  <c r="DP89" i="2"/>
  <c r="DO89" i="2"/>
  <c r="DN89" i="2"/>
  <c r="DM89" i="2"/>
  <c r="DL89" i="2"/>
  <c r="DK89" i="2"/>
  <c r="DJ89" i="2"/>
  <c r="DI89" i="2"/>
  <c r="DH89" i="2"/>
  <c r="DG89" i="2"/>
  <c r="DF89" i="2"/>
  <c r="DE89" i="2"/>
  <c r="DD89" i="2"/>
  <c r="DC89" i="2"/>
  <c r="DB89" i="2"/>
  <c r="DA89" i="2"/>
  <c r="CZ89" i="2"/>
  <c r="CY89" i="2"/>
  <c r="CX89" i="2"/>
  <c r="CW89" i="2"/>
  <c r="CV89" i="2"/>
  <c r="CU89" i="2"/>
  <c r="CT89" i="2"/>
  <c r="CS89" i="2"/>
  <c r="CR89" i="2"/>
  <c r="CQ89" i="2"/>
  <c r="CP89" i="2"/>
  <c r="CO89" i="2"/>
  <c r="CN89" i="2"/>
  <c r="CM89" i="2"/>
  <c r="CL89" i="2"/>
  <c r="CK89" i="2"/>
  <c r="CJ89" i="2"/>
  <c r="CI89" i="2"/>
  <c r="CH89" i="2"/>
  <c r="CG89" i="2"/>
  <c r="CF89" i="2"/>
  <c r="CE89" i="2"/>
  <c r="CD89" i="2"/>
  <c r="CC89" i="2"/>
  <c r="CB89" i="2"/>
  <c r="CA89" i="2"/>
  <c r="BZ89" i="2"/>
  <c r="BY89" i="2"/>
  <c r="BX89" i="2"/>
  <c r="BW89" i="2"/>
  <c r="BV89" i="2"/>
  <c r="BU89" i="2"/>
  <c r="BT89" i="2"/>
  <c r="BS89" i="2"/>
  <c r="BR89" i="2"/>
  <c r="BQ89" i="2"/>
  <c r="BP89" i="2"/>
  <c r="BO89" i="2"/>
  <c r="BN89" i="2"/>
  <c r="BM89" i="2"/>
  <c r="BL89" i="2"/>
  <c r="BK89" i="2"/>
  <c r="BJ89" i="2"/>
  <c r="BI89" i="2"/>
  <c r="BH89" i="2"/>
  <c r="BG89" i="2"/>
  <c r="BF89" i="2"/>
  <c r="BE89" i="2"/>
  <c r="BD89" i="2"/>
  <c r="BC89" i="2"/>
  <c r="BB89" i="2"/>
  <c r="BA89" i="2"/>
  <c r="AZ89" i="2"/>
  <c r="AY89" i="2"/>
  <c r="AX89" i="2"/>
  <c r="AW89" i="2"/>
  <c r="AV89" i="2"/>
  <c r="AU89" i="2"/>
  <c r="AT89" i="2"/>
  <c r="AS89" i="2"/>
  <c r="AR89" i="2"/>
  <c r="AQ89" i="2"/>
  <c r="AP89" i="2"/>
  <c r="AO89" i="2"/>
  <c r="AN89" i="2"/>
  <c r="AM89" i="2"/>
  <c r="AL89" i="2"/>
  <c r="AK89" i="2"/>
  <c r="AJ89" i="2"/>
  <c r="AI89" i="2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EH88" i="2"/>
  <c r="EG88" i="2"/>
  <c r="EF88" i="2"/>
  <c r="EE88" i="2"/>
  <c r="ED88" i="2"/>
  <c r="EC88" i="2"/>
  <c r="EB88" i="2"/>
  <c r="EA88" i="2"/>
  <c r="DZ88" i="2"/>
  <c r="DY88" i="2"/>
  <c r="DX88" i="2"/>
  <c r="DW88" i="2"/>
  <c r="DV88" i="2"/>
  <c r="DU88" i="2"/>
  <c r="DT88" i="2"/>
  <c r="DS88" i="2"/>
  <c r="DR88" i="2"/>
  <c r="DQ88" i="2"/>
  <c r="DP88" i="2"/>
  <c r="DO88" i="2"/>
  <c r="DN88" i="2"/>
  <c r="DM88" i="2"/>
  <c r="DL88" i="2"/>
  <c r="DK88" i="2"/>
  <c r="DJ88" i="2"/>
  <c r="DI88" i="2"/>
  <c r="DH88" i="2"/>
  <c r="DG88" i="2"/>
  <c r="DF88" i="2"/>
  <c r="DE88" i="2"/>
  <c r="DD88" i="2"/>
  <c r="DC88" i="2"/>
  <c r="DB88" i="2"/>
  <c r="DA88" i="2"/>
  <c r="CZ88" i="2"/>
  <c r="CY88" i="2"/>
  <c r="CX88" i="2"/>
  <c r="CW88" i="2"/>
  <c r="CV88" i="2"/>
  <c r="CU88" i="2"/>
  <c r="CT88" i="2"/>
  <c r="CS88" i="2"/>
  <c r="CR88" i="2"/>
  <c r="CQ88" i="2"/>
  <c r="CP88" i="2"/>
  <c r="CO88" i="2"/>
  <c r="CN88" i="2"/>
  <c r="CM88" i="2"/>
  <c r="CL88" i="2"/>
  <c r="CK88" i="2"/>
  <c r="CJ88" i="2"/>
  <c r="CI88" i="2"/>
  <c r="CH88" i="2"/>
  <c r="CG88" i="2"/>
  <c r="CF88" i="2"/>
  <c r="CE88" i="2"/>
  <c r="CD88" i="2"/>
  <c r="CC88" i="2"/>
  <c r="CB88" i="2"/>
  <c r="CA88" i="2"/>
  <c r="BZ88" i="2"/>
  <c r="BY88" i="2"/>
  <c r="BX88" i="2"/>
  <c r="BW88" i="2"/>
  <c r="BV88" i="2"/>
  <c r="BU88" i="2"/>
  <c r="BT88" i="2"/>
  <c r="BS88" i="2"/>
  <c r="BR88" i="2"/>
  <c r="BQ88" i="2"/>
  <c r="BP88" i="2"/>
  <c r="BO88" i="2"/>
  <c r="BN88" i="2"/>
  <c r="BM88" i="2"/>
  <c r="BL88" i="2"/>
  <c r="BK88" i="2"/>
  <c r="BJ88" i="2"/>
  <c r="BI88" i="2"/>
  <c r="BH88" i="2"/>
  <c r="BG88" i="2"/>
  <c r="BF88" i="2"/>
  <c r="BE88" i="2"/>
  <c r="BD88" i="2"/>
  <c r="BC88" i="2"/>
  <c r="BB88" i="2"/>
  <c r="BA88" i="2"/>
  <c r="AZ88" i="2"/>
  <c r="AY88" i="2"/>
  <c r="AX88" i="2"/>
  <c r="AW88" i="2"/>
  <c r="AV88" i="2"/>
  <c r="AU88" i="2"/>
  <c r="AT88" i="2"/>
  <c r="AS88" i="2"/>
  <c r="AR88" i="2"/>
  <c r="AQ88" i="2"/>
  <c r="AP88" i="2"/>
  <c r="AO88" i="2"/>
  <c r="AN88" i="2"/>
  <c r="AM88" i="2"/>
  <c r="AL88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EH87" i="2"/>
  <c r="EG87" i="2"/>
  <c r="EF87" i="2"/>
  <c r="EE87" i="2"/>
  <c r="ED87" i="2"/>
  <c r="EC87" i="2"/>
  <c r="EB87" i="2"/>
  <c r="EA87" i="2"/>
  <c r="DZ87" i="2"/>
  <c r="DY87" i="2"/>
  <c r="DX87" i="2"/>
  <c r="DW87" i="2"/>
  <c r="DV87" i="2"/>
  <c r="DU87" i="2"/>
  <c r="DT87" i="2"/>
  <c r="DS87" i="2"/>
  <c r="DR87" i="2"/>
  <c r="DQ87" i="2"/>
  <c r="DP87" i="2"/>
  <c r="DO87" i="2"/>
  <c r="DN87" i="2"/>
  <c r="DM87" i="2"/>
  <c r="DL87" i="2"/>
  <c r="DK87" i="2"/>
  <c r="DJ87" i="2"/>
  <c r="DI87" i="2"/>
  <c r="DH87" i="2"/>
  <c r="DG87" i="2"/>
  <c r="DF87" i="2"/>
  <c r="DE87" i="2"/>
  <c r="DD87" i="2"/>
  <c r="DC87" i="2"/>
  <c r="DB87" i="2"/>
  <c r="DA87" i="2"/>
  <c r="CZ87" i="2"/>
  <c r="CY87" i="2"/>
  <c r="CX87" i="2"/>
  <c r="CW87" i="2"/>
  <c r="CV87" i="2"/>
  <c r="CU87" i="2"/>
  <c r="CT87" i="2"/>
  <c r="CS87" i="2"/>
  <c r="CR87" i="2"/>
  <c r="CQ87" i="2"/>
  <c r="CP87" i="2"/>
  <c r="CO87" i="2"/>
  <c r="CN87" i="2"/>
  <c r="CM87" i="2"/>
  <c r="CL87" i="2"/>
  <c r="CK87" i="2"/>
  <c r="CJ87" i="2"/>
  <c r="CI87" i="2"/>
  <c r="CH87" i="2"/>
  <c r="CG87" i="2"/>
  <c r="CF87" i="2"/>
  <c r="CE87" i="2"/>
  <c r="CD87" i="2"/>
  <c r="CC87" i="2"/>
  <c r="CB87" i="2"/>
  <c r="CA87" i="2"/>
  <c r="BZ87" i="2"/>
  <c r="BY87" i="2"/>
  <c r="BX87" i="2"/>
  <c r="BW87" i="2"/>
  <c r="BV87" i="2"/>
  <c r="BU87" i="2"/>
  <c r="BT87" i="2"/>
  <c r="BS87" i="2"/>
  <c r="BR87" i="2"/>
  <c r="BQ87" i="2"/>
  <c r="BP87" i="2"/>
  <c r="BO87" i="2"/>
  <c r="BN87" i="2"/>
  <c r="BM87" i="2"/>
  <c r="BL87" i="2"/>
  <c r="BK87" i="2"/>
  <c r="BJ87" i="2"/>
  <c r="BI87" i="2"/>
  <c r="BH87" i="2"/>
  <c r="BG87" i="2"/>
  <c r="BF87" i="2"/>
  <c r="BE87" i="2"/>
  <c r="BD87" i="2"/>
  <c r="BC87" i="2"/>
  <c r="BB87" i="2"/>
  <c r="BA87" i="2"/>
  <c r="AZ87" i="2"/>
  <c r="AY87" i="2"/>
  <c r="AX87" i="2"/>
  <c r="AW87" i="2"/>
  <c r="AV87" i="2"/>
  <c r="AU87" i="2"/>
  <c r="AT87" i="2"/>
  <c r="AS87" i="2"/>
  <c r="AR87" i="2"/>
  <c r="AQ87" i="2"/>
  <c r="AP87" i="2"/>
  <c r="AO87" i="2"/>
  <c r="AN87" i="2"/>
  <c r="AM87" i="2"/>
  <c r="AL87" i="2"/>
  <c r="AK87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EH86" i="2"/>
  <c r="EG86" i="2"/>
  <c r="EF86" i="2"/>
  <c r="EE86" i="2"/>
  <c r="ED86" i="2"/>
  <c r="EC86" i="2"/>
  <c r="EB86" i="2"/>
  <c r="EA86" i="2"/>
  <c r="DZ86" i="2"/>
  <c r="DY86" i="2"/>
  <c r="DX86" i="2"/>
  <c r="DW86" i="2"/>
  <c r="DV86" i="2"/>
  <c r="DU86" i="2"/>
  <c r="DT86" i="2"/>
  <c r="DS86" i="2"/>
  <c r="DR86" i="2"/>
  <c r="DQ86" i="2"/>
  <c r="DP86" i="2"/>
  <c r="DO86" i="2"/>
  <c r="DN86" i="2"/>
  <c r="DM86" i="2"/>
  <c r="DL86" i="2"/>
  <c r="DK86" i="2"/>
  <c r="DJ86" i="2"/>
  <c r="DI86" i="2"/>
  <c r="DH86" i="2"/>
  <c r="DG86" i="2"/>
  <c r="DF86" i="2"/>
  <c r="DE86" i="2"/>
  <c r="DD86" i="2"/>
  <c r="DC86" i="2"/>
  <c r="DB86" i="2"/>
  <c r="DA86" i="2"/>
  <c r="CZ86" i="2"/>
  <c r="CY86" i="2"/>
  <c r="CX86" i="2"/>
  <c r="CW86" i="2"/>
  <c r="CV86" i="2"/>
  <c r="CU86" i="2"/>
  <c r="CT86" i="2"/>
  <c r="CS86" i="2"/>
  <c r="CR86" i="2"/>
  <c r="CQ86" i="2"/>
  <c r="CP86" i="2"/>
  <c r="CO86" i="2"/>
  <c r="CN86" i="2"/>
  <c r="CM86" i="2"/>
  <c r="CL86" i="2"/>
  <c r="CK86" i="2"/>
  <c r="CJ86" i="2"/>
  <c r="CI86" i="2"/>
  <c r="CH86" i="2"/>
  <c r="CG86" i="2"/>
  <c r="CF86" i="2"/>
  <c r="CE86" i="2"/>
  <c r="CD86" i="2"/>
  <c r="CC86" i="2"/>
  <c r="CB86" i="2"/>
  <c r="CA86" i="2"/>
  <c r="BZ86" i="2"/>
  <c r="BY86" i="2"/>
  <c r="BX86" i="2"/>
  <c r="BW86" i="2"/>
  <c r="BV86" i="2"/>
  <c r="BU86" i="2"/>
  <c r="BT86" i="2"/>
  <c r="BS86" i="2"/>
  <c r="BR86" i="2"/>
  <c r="BQ86" i="2"/>
  <c r="BP86" i="2"/>
  <c r="BO86" i="2"/>
  <c r="BN86" i="2"/>
  <c r="BM86" i="2"/>
  <c r="BL86" i="2"/>
  <c r="BK86" i="2"/>
  <c r="BJ86" i="2"/>
  <c r="BI86" i="2"/>
  <c r="BH86" i="2"/>
  <c r="BG86" i="2"/>
  <c r="BF86" i="2"/>
  <c r="BE86" i="2"/>
  <c r="BD86" i="2"/>
  <c r="BC86" i="2"/>
  <c r="BB86" i="2"/>
  <c r="BA86" i="2"/>
  <c r="AZ86" i="2"/>
  <c r="AY86" i="2"/>
  <c r="AX86" i="2"/>
  <c r="AW86" i="2"/>
  <c r="AV86" i="2"/>
  <c r="AU86" i="2"/>
  <c r="AT86" i="2"/>
  <c r="AS86" i="2"/>
  <c r="AR86" i="2"/>
  <c r="AQ86" i="2"/>
  <c r="AP86" i="2"/>
  <c r="AO86" i="2"/>
  <c r="AN86" i="2"/>
  <c r="AM86" i="2"/>
  <c r="AL86" i="2"/>
  <c r="AK86" i="2"/>
  <c r="AJ86" i="2"/>
  <c r="AI86" i="2"/>
  <c r="AH86" i="2"/>
  <c r="AG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S86" i="2"/>
  <c r="R86" i="2"/>
  <c r="Q86" i="2"/>
  <c r="P86" i="2"/>
  <c r="O86" i="2"/>
  <c r="N86" i="2"/>
  <c r="M86" i="2"/>
  <c r="L86" i="2"/>
  <c r="K86" i="2"/>
  <c r="J86" i="2"/>
  <c r="I86" i="2"/>
  <c r="H86" i="2"/>
  <c r="G86" i="2"/>
  <c r="EH85" i="2"/>
  <c r="EG85" i="2"/>
  <c r="EF85" i="2"/>
  <c r="EE85" i="2"/>
  <c r="ED85" i="2"/>
  <c r="EC85" i="2"/>
  <c r="EB85" i="2"/>
  <c r="EA85" i="2"/>
  <c r="DZ85" i="2"/>
  <c r="DY85" i="2"/>
  <c r="DX85" i="2"/>
  <c r="DW85" i="2"/>
  <c r="DV85" i="2"/>
  <c r="DU85" i="2"/>
  <c r="DT85" i="2"/>
  <c r="DS85" i="2"/>
  <c r="DR85" i="2"/>
  <c r="DQ85" i="2"/>
  <c r="DP85" i="2"/>
  <c r="DO85" i="2"/>
  <c r="DN85" i="2"/>
  <c r="DM85" i="2"/>
  <c r="DL85" i="2"/>
  <c r="DK85" i="2"/>
  <c r="DJ85" i="2"/>
  <c r="DI85" i="2"/>
  <c r="DH85" i="2"/>
  <c r="DG85" i="2"/>
  <c r="DF85" i="2"/>
  <c r="DE85" i="2"/>
  <c r="DD85" i="2"/>
  <c r="DC85" i="2"/>
  <c r="DB85" i="2"/>
  <c r="DA85" i="2"/>
  <c r="CZ85" i="2"/>
  <c r="CY85" i="2"/>
  <c r="CX85" i="2"/>
  <c r="CW85" i="2"/>
  <c r="CV85" i="2"/>
  <c r="CU85" i="2"/>
  <c r="CT85" i="2"/>
  <c r="CS85" i="2"/>
  <c r="CR85" i="2"/>
  <c r="CQ85" i="2"/>
  <c r="CP85" i="2"/>
  <c r="CO85" i="2"/>
  <c r="CN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EH84" i="2"/>
  <c r="EG84" i="2"/>
  <c r="EF84" i="2"/>
  <c r="EE84" i="2"/>
  <c r="ED84" i="2"/>
  <c r="EC84" i="2"/>
  <c r="EB84" i="2"/>
  <c r="EA84" i="2"/>
  <c r="DZ84" i="2"/>
  <c r="DY84" i="2"/>
  <c r="DX84" i="2"/>
  <c r="DW84" i="2"/>
  <c r="DV84" i="2"/>
  <c r="DU84" i="2"/>
  <c r="DT84" i="2"/>
  <c r="DS84" i="2"/>
  <c r="DR84" i="2"/>
  <c r="DQ84" i="2"/>
  <c r="DP84" i="2"/>
  <c r="DO84" i="2"/>
  <c r="DN84" i="2"/>
  <c r="DM84" i="2"/>
  <c r="DL84" i="2"/>
  <c r="DK84" i="2"/>
  <c r="DJ84" i="2"/>
  <c r="DI84" i="2"/>
  <c r="DH84" i="2"/>
  <c r="DG84" i="2"/>
  <c r="DF84" i="2"/>
  <c r="DE84" i="2"/>
  <c r="DD84" i="2"/>
  <c r="DC84" i="2"/>
  <c r="DB84" i="2"/>
  <c r="DA84" i="2"/>
  <c r="CZ84" i="2"/>
  <c r="CY84" i="2"/>
  <c r="CX84" i="2"/>
  <c r="CW84" i="2"/>
  <c r="CV84" i="2"/>
  <c r="CU84" i="2"/>
  <c r="CT84" i="2"/>
  <c r="CS84" i="2"/>
  <c r="CR84" i="2"/>
  <c r="CQ84" i="2"/>
  <c r="CP84" i="2"/>
  <c r="CO84" i="2"/>
  <c r="CN84" i="2"/>
  <c r="CM84" i="2"/>
  <c r="CL84" i="2"/>
  <c r="CK84" i="2"/>
  <c r="CJ84" i="2"/>
  <c r="CI84" i="2"/>
  <c r="CH84" i="2"/>
  <c r="CG84" i="2"/>
  <c r="CF84" i="2"/>
  <c r="CE84" i="2"/>
  <c r="CD84" i="2"/>
  <c r="CC84" i="2"/>
  <c r="CB84" i="2"/>
  <c r="CA84" i="2"/>
  <c r="BZ84" i="2"/>
  <c r="BY84" i="2"/>
  <c r="BX84" i="2"/>
  <c r="BW84" i="2"/>
  <c r="BV84" i="2"/>
  <c r="BU84" i="2"/>
  <c r="BT84" i="2"/>
  <c r="BS84" i="2"/>
  <c r="BR84" i="2"/>
  <c r="BQ84" i="2"/>
  <c r="BP84" i="2"/>
  <c r="BO84" i="2"/>
  <c r="BN84" i="2"/>
  <c r="BM84" i="2"/>
  <c r="BL84" i="2"/>
  <c r="BK84" i="2"/>
  <c r="BJ84" i="2"/>
  <c r="BI84" i="2"/>
  <c r="BH84" i="2"/>
  <c r="BG84" i="2"/>
  <c r="BF84" i="2"/>
  <c r="BE84" i="2"/>
  <c r="BD84" i="2"/>
  <c r="BC84" i="2"/>
  <c r="BB84" i="2"/>
  <c r="BA84" i="2"/>
  <c r="AZ84" i="2"/>
  <c r="AY84" i="2"/>
  <c r="AX84" i="2"/>
  <c r="AW84" i="2"/>
  <c r="AV84" i="2"/>
  <c r="AU84" i="2"/>
  <c r="AT84" i="2"/>
  <c r="AS84" i="2"/>
  <c r="AR84" i="2"/>
  <c r="AQ84" i="2"/>
  <c r="AP84" i="2"/>
  <c r="AO84" i="2"/>
  <c r="AN84" i="2"/>
  <c r="AM84" i="2"/>
  <c r="AL84" i="2"/>
  <c r="AK84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EH83" i="2"/>
  <c r="EG83" i="2"/>
  <c r="EF83" i="2"/>
  <c r="EE83" i="2"/>
  <c r="ED83" i="2"/>
  <c r="EC83" i="2"/>
  <c r="EB83" i="2"/>
  <c r="EA83" i="2"/>
  <c r="DZ83" i="2"/>
  <c r="DY83" i="2"/>
  <c r="DX83" i="2"/>
  <c r="DW83" i="2"/>
  <c r="DV83" i="2"/>
  <c r="DU83" i="2"/>
  <c r="DT83" i="2"/>
  <c r="DS83" i="2"/>
  <c r="DR83" i="2"/>
  <c r="DQ83" i="2"/>
  <c r="DP83" i="2"/>
  <c r="DO83" i="2"/>
  <c r="DN83" i="2"/>
  <c r="DM83" i="2"/>
  <c r="DL83" i="2"/>
  <c r="DK83" i="2"/>
  <c r="DJ83" i="2"/>
  <c r="DI83" i="2"/>
  <c r="DH83" i="2"/>
  <c r="DG83" i="2"/>
  <c r="DF83" i="2"/>
  <c r="DE83" i="2"/>
  <c r="DD83" i="2"/>
  <c r="DC83" i="2"/>
  <c r="DB83" i="2"/>
  <c r="DA83" i="2"/>
  <c r="CZ83" i="2"/>
  <c r="CY83" i="2"/>
  <c r="CX83" i="2"/>
  <c r="CW83" i="2"/>
  <c r="CV83" i="2"/>
  <c r="CU83" i="2"/>
  <c r="CT83" i="2"/>
  <c r="CS83" i="2"/>
  <c r="CR83" i="2"/>
  <c r="CQ83" i="2"/>
  <c r="CP83" i="2"/>
  <c r="CO83" i="2"/>
  <c r="CN83" i="2"/>
  <c r="CM83" i="2"/>
  <c r="CL83" i="2"/>
  <c r="CK83" i="2"/>
  <c r="CJ83" i="2"/>
  <c r="CI83" i="2"/>
  <c r="CH83" i="2"/>
  <c r="CG83" i="2"/>
  <c r="CF83" i="2"/>
  <c r="CE83" i="2"/>
  <c r="CD83" i="2"/>
  <c r="CC83" i="2"/>
  <c r="CB83" i="2"/>
  <c r="CA83" i="2"/>
  <c r="BZ83" i="2"/>
  <c r="BY83" i="2"/>
  <c r="BX83" i="2"/>
  <c r="BW83" i="2"/>
  <c r="BV83" i="2"/>
  <c r="BU83" i="2"/>
  <c r="BT83" i="2"/>
  <c r="BS83" i="2"/>
  <c r="BR83" i="2"/>
  <c r="BQ83" i="2"/>
  <c r="BP83" i="2"/>
  <c r="BO83" i="2"/>
  <c r="BN83" i="2"/>
  <c r="BM83" i="2"/>
  <c r="BL83" i="2"/>
  <c r="BK83" i="2"/>
  <c r="BJ83" i="2"/>
  <c r="BI83" i="2"/>
  <c r="BH83" i="2"/>
  <c r="BG83" i="2"/>
  <c r="BF83" i="2"/>
  <c r="BE83" i="2"/>
  <c r="BD83" i="2"/>
  <c r="BC83" i="2"/>
  <c r="BB83" i="2"/>
  <c r="BA83" i="2"/>
  <c r="AZ83" i="2"/>
  <c r="AY83" i="2"/>
  <c r="AX83" i="2"/>
  <c r="AW83" i="2"/>
  <c r="AV83" i="2"/>
  <c r="AU83" i="2"/>
  <c r="AT83" i="2"/>
  <c r="AS83" i="2"/>
  <c r="AR83" i="2"/>
  <c r="AQ83" i="2"/>
  <c r="AP83" i="2"/>
  <c r="AO83" i="2"/>
  <c r="AN83" i="2"/>
  <c r="AM83" i="2"/>
  <c r="AL83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EH82" i="2"/>
  <c r="EG82" i="2"/>
  <c r="EF82" i="2"/>
  <c r="EE82" i="2"/>
  <c r="ED82" i="2"/>
  <c r="EC82" i="2"/>
  <c r="EB82" i="2"/>
  <c r="EA82" i="2"/>
  <c r="DZ82" i="2"/>
  <c r="DY82" i="2"/>
  <c r="DX82" i="2"/>
  <c r="DW82" i="2"/>
  <c r="DV82" i="2"/>
  <c r="DU82" i="2"/>
  <c r="DT82" i="2"/>
  <c r="DS82" i="2"/>
  <c r="DR82" i="2"/>
  <c r="DQ82" i="2"/>
  <c r="DP82" i="2"/>
  <c r="DO82" i="2"/>
  <c r="DN82" i="2"/>
  <c r="DM82" i="2"/>
  <c r="DL82" i="2"/>
  <c r="DK82" i="2"/>
  <c r="DJ82" i="2"/>
  <c r="DI82" i="2"/>
  <c r="DH82" i="2"/>
  <c r="DG82" i="2"/>
  <c r="DF82" i="2"/>
  <c r="DE82" i="2"/>
  <c r="DD82" i="2"/>
  <c r="DC82" i="2"/>
  <c r="DB82" i="2"/>
  <c r="DA82" i="2"/>
  <c r="CZ82" i="2"/>
  <c r="CY82" i="2"/>
  <c r="CX82" i="2"/>
  <c r="CW82" i="2"/>
  <c r="CV82" i="2"/>
  <c r="CU82" i="2"/>
  <c r="CT82" i="2"/>
  <c r="CS82" i="2"/>
  <c r="CR82" i="2"/>
  <c r="CQ82" i="2"/>
  <c r="CP82" i="2"/>
  <c r="CO82" i="2"/>
  <c r="CN82" i="2"/>
  <c r="CM82" i="2"/>
  <c r="CL82" i="2"/>
  <c r="CK82" i="2"/>
  <c r="CJ82" i="2"/>
  <c r="CI82" i="2"/>
  <c r="CH82" i="2"/>
  <c r="CG82" i="2"/>
  <c r="CF82" i="2"/>
  <c r="CE82" i="2"/>
  <c r="CD82" i="2"/>
  <c r="CC82" i="2"/>
  <c r="CB82" i="2"/>
  <c r="CA82" i="2"/>
  <c r="BZ82" i="2"/>
  <c r="BY82" i="2"/>
  <c r="BX82" i="2"/>
  <c r="BW82" i="2"/>
  <c r="BV82" i="2"/>
  <c r="BU82" i="2"/>
  <c r="BT82" i="2"/>
  <c r="BS82" i="2"/>
  <c r="BR82" i="2"/>
  <c r="BQ82" i="2"/>
  <c r="BP82" i="2"/>
  <c r="BO82" i="2"/>
  <c r="BN82" i="2"/>
  <c r="BM82" i="2"/>
  <c r="BL82" i="2"/>
  <c r="BK82" i="2"/>
  <c r="BJ82" i="2"/>
  <c r="BI82" i="2"/>
  <c r="BH82" i="2"/>
  <c r="BG82" i="2"/>
  <c r="BF82" i="2"/>
  <c r="BE82" i="2"/>
  <c r="BD82" i="2"/>
  <c r="BC82" i="2"/>
  <c r="BB82" i="2"/>
  <c r="BA82" i="2"/>
  <c r="AZ82" i="2"/>
  <c r="AY82" i="2"/>
  <c r="AX82" i="2"/>
  <c r="AW82" i="2"/>
  <c r="AV82" i="2"/>
  <c r="AU82" i="2"/>
  <c r="AT82" i="2"/>
  <c r="AS82" i="2"/>
  <c r="AR82" i="2"/>
  <c r="AQ82" i="2"/>
  <c r="AP82" i="2"/>
  <c r="AO82" i="2"/>
  <c r="AN82" i="2"/>
  <c r="AM82" i="2"/>
  <c r="AL82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EH81" i="2"/>
  <c r="EG81" i="2"/>
  <c r="EF81" i="2"/>
  <c r="EE81" i="2"/>
  <c r="ED81" i="2"/>
  <c r="EC81" i="2"/>
  <c r="EB81" i="2"/>
  <c r="EA81" i="2"/>
  <c r="DZ81" i="2"/>
  <c r="DY81" i="2"/>
  <c r="DX81" i="2"/>
  <c r="DW81" i="2"/>
  <c r="DV81" i="2"/>
  <c r="DU81" i="2"/>
  <c r="DT81" i="2"/>
  <c r="DS81" i="2"/>
  <c r="DR81" i="2"/>
  <c r="DQ81" i="2"/>
  <c r="DP81" i="2"/>
  <c r="DO81" i="2"/>
  <c r="DN81" i="2"/>
  <c r="DM81" i="2"/>
  <c r="DL81" i="2"/>
  <c r="DK81" i="2"/>
  <c r="DJ81" i="2"/>
  <c r="DI81" i="2"/>
  <c r="DH81" i="2"/>
  <c r="DG81" i="2"/>
  <c r="DF81" i="2"/>
  <c r="DE81" i="2"/>
  <c r="DD81" i="2"/>
  <c r="DC81" i="2"/>
  <c r="DB81" i="2"/>
  <c r="DA81" i="2"/>
  <c r="CZ81" i="2"/>
  <c r="CY81" i="2"/>
  <c r="CX81" i="2"/>
  <c r="CW81" i="2"/>
  <c r="CV81" i="2"/>
  <c r="CU81" i="2"/>
  <c r="CT81" i="2"/>
  <c r="CS81" i="2"/>
  <c r="CR81" i="2"/>
  <c r="CQ81" i="2"/>
  <c r="CP81" i="2"/>
  <c r="CO81" i="2"/>
  <c r="CN81" i="2"/>
  <c r="CM81" i="2"/>
  <c r="CL81" i="2"/>
  <c r="CK81" i="2"/>
  <c r="CJ81" i="2"/>
  <c r="CI81" i="2"/>
  <c r="CH81" i="2"/>
  <c r="CG81" i="2"/>
  <c r="CF81" i="2"/>
  <c r="CE81" i="2"/>
  <c r="CD81" i="2"/>
  <c r="CC81" i="2"/>
  <c r="CB81" i="2"/>
  <c r="CA81" i="2"/>
  <c r="BZ81" i="2"/>
  <c r="BY81" i="2"/>
  <c r="BX81" i="2"/>
  <c r="BW81" i="2"/>
  <c r="BV81" i="2"/>
  <c r="BU81" i="2"/>
  <c r="BT81" i="2"/>
  <c r="BS81" i="2"/>
  <c r="BR81" i="2"/>
  <c r="BQ81" i="2"/>
  <c r="BP81" i="2"/>
  <c r="BO81" i="2"/>
  <c r="BN81" i="2"/>
  <c r="BM81" i="2"/>
  <c r="BL81" i="2"/>
  <c r="BK81" i="2"/>
  <c r="BJ81" i="2"/>
  <c r="BI81" i="2"/>
  <c r="BH81" i="2"/>
  <c r="BG81" i="2"/>
  <c r="BF81" i="2"/>
  <c r="BE81" i="2"/>
  <c r="BD81" i="2"/>
  <c r="BC81" i="2"/>
  <c r="BB81" i="2"/>
  <c r="BA81" i="2"/>
  <c r="AZ81" i="2"/>
  <c r="AY81" i="2"/>
  <c r="AX81" i="2"/>
  <c r="AW81" i="2"/>
  <c r="AV81" i="2"/>
  <c r="AU81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EH80" i="2"/>
  <c r="EG80" i="2"/>
  <c r="EF80" i="2"/>
  <c r="EE80" i="2"/>
  <c r="ED80" i="2"/>
  <c r="EC80" i="2"/>
  <c r="EB80" i="2"/>
  <c r="EA80" i="2"/>
  <c r="DZ80" i="2"/>
  <c r="DY80" i="2"/>
  <c r="DX80" i="2"/>
  <c r="DW80" i="2"/>
  <c r="DV80" i="2"/>
  <c r="DU80" i="2"/>
  <c r="DT80" i="2"/>
  <c r="DS80" i="2"/>
  <c r="DR80" i="2"/>
  <c r="DQ80" i="2"/>
  <c r="DP80" i="2"/>
  <c r="DO80" i="2"/>
  <c r="DN80" i="2"/>
  <c r="DM80" i="2"/>
  <c r="DL80" i="2"/>
  <c r="DK80" i="2"/>
  <c r="DJ80" i="2"/>
  <c r="DI80" i="2"/>
  <c r="DH80" i="2"/>
  <c r="DG80" i="2"/>
  <c r="DF80" i="2"/>
  <c r="DE80" i="2"/>
  <c r="DD80" i="2"/>
  <c r="DC80" i="2"/>
  <c r="DB80" i="2"/>
  <c r="DA80" i="2"/>
  <c r="CZ80" i="2"/>
  <c r="CY80" i="2"/>
  <c r="CX80" i="2"/>
  <c r="CW80" i="2"/>
  <c r="CV80" i="2"/>
  <c r="CU80" i="2"/>
  <c r="CT80" i="2"/>
  <c r="CS80" i="2"/>
  <c r="CR80" i="2"/>
  <c r="CQ80" i="2"/>
  <c r="CP80" i="2"/>
  <c r="CO80" i="2"/>
  <c r="CN80" i="2"/>
  <c r="CM80" i="2"/>
  <c r="CL80" i="2"/>
  <c r="CK80" i="2"/>
  <c r="CJ80" i="2"/>
  <c r="CI80" i="2"/>
  <c r="CH80" i="2"/>
  <c r="CG80" i="2"/>
  <c r="CF80" i="2"/>
  <c r="CE80" i="2"/>
  <c r="CD80" i="2"/>
  <c r="CC80" i="2"/>
  <c r="CB80" i="2"/>
  <c r="CA80" i="2"/>
  <c r="BZ80" i="2"/>
  <c r="BY80" i="2"/>
  <c r="BX80" i="2"/>
  <c r="BW80" i="2"/>
  <c r="BV80" i="2"/>
  <c r="BU80" i="2"/>
  <c r="BT80" i="2"/>
  <c r="BS80" i="2"/>
  <c r="BR80" i="2"/>
  <c r="BQ80" i="2"/>
  <c r="BP80" i="2"/>
  <c r="BO80" i="2"/>
  <c r="BN80" i="2"/>
  <c r="BM80" i="2"/>
  <c r="BL80" i="2"/>
  <c r="BK80" i="2"/>
  <c r="BJ80" i="2"/>
  <c r="BI80" i="2"/>
  <c r="BH80" i="2"/>
  <c r="BG80" i="2"/>
  <c r="BF80" i="2"/>
  <c r="BE80" i="2"/>
  <c r="BD80" i="2"/>
  <c r="BC80" i="2"/>
  <c r="BB80" i="2"/>
  <c r="BA80" i="2"/>
  <c r="AZ80" i="2"/>
  <c r="AY80" i="2"/>
  <c r="AX80" i="2"/>
  <c r="AW80" i="2"/>
  <c r="AV80" i="2"/>
  <c r="AU80" i="2"/>
  <c r="AT80" i="2"/>
  <c r="AS80" i="2"/>
  <c r="AR80" i="2"/>
  <c r="AQ80" i="2"/>
  <c r="AP80" i="2"/>
  <c r="AO80" i="2"/>
  <c r="AN80" i="2"/>
  <c r="AM80" i="2"/>
  <c r="AL80" i="2"/>
  <c r="AK80" i="2"/>
  <c r="AJ80" i="2"/>
  <c r="AI80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G80" i="2"/>
  <c r="EH78" i="2"/>
  <c r="EG78" i="2"/>
  <c r="EF78" i="2"/>
  <c r="EE78" i="2"/>
  <c r="ED78" i="2"/>
  <c r="EC78" i="2"/>
  <c r="EB78" i="2"/>
  <c r="EA78" i="2"/>
  <c r="DZ78" i="2"/>
  <c r="DY78" i="2"/>
  <c r="DX78" i="2"/>
  <c r="DW78" i="2"/>
  <c r="DV78" i="2"/>
  <c r="DU78" i="2"/>
  <c r="DT78" i="2"/>
  <c r="DS78" i="2"/>
  <c r="DR78" i="2"/>
  <c r="DQ78" i="2"/>
  <c r="DP78" i="2"/>
  <c r="DO78" i="2"/>
  <c r="DN78" i="2"/>
  <c r="DM78" i="2"/>
  <c r="DL78" i="2"/>
  <c r="DK78" i="2"/>
  <c r="DJ78" i="2"/>
  <c r="DI78" i="2"/>
  <c r="DH78" i="2"/>
  <c r="DG78" i="2"/>
  <c r="DF78" i="2"/>
  <c r="DE78" i="2"/>
  <c r="DD78" i="2"/>
  <c r="DC78" i="2"/>
  <c r="DB78" i="2"/>
  <c r="DA78" i="2"/>
  <c r="CZ78" i="2"/>
  <c r="CY78" i="2"/>
  <c r="CX78" i="2"/>
  <c r="CW78" i="2"/>
  <c r="CV78" i="2"/>
  <c r="CU78" i="2"/>
  <c r="CT78" i="2"/>
  <c r="CS78" i="2"/>
  <c r="CR78" i="2"/>
  <c r="CQ78" i="2"/>
  <c r="CP78" i="2"/>
  <c r="CO78" i="2"/>
  <c r="CN78" i="2"/>
  <c r="CM78" i="2"/>
  <c r="CL78" i="2"/>
  <c r="CK78" i="2"/>
  <c r="CJ78" i="2"/>
  <c r="CI78" i="2"/>
  <c r="CH78" i="2"/>
  <c r="CG78" i="2"/>
  <c r="CF78" i="2"/>
  <c r="CE78" i="2"/>
  <c r="CD78" i="2"/>
  <c r="CC78" i="2"/>
  <c r="CB78" i="2"/>
  <c r="CA78" i="2"/>
  <c r="BZ78" i="2"/>
  <c r="BY78" i="2"/>
  <c r="BX78" i="2"/>
  <c r="BW78" i="2"/>
  <c r="BV78" i="2"/>
  <c r="BU78" i="2"/>
  <c r="BT78" i="2"/>
  <c r="BS78" i="2"/>
  <c r="BR78" i="2"/>
  <c r="BQ78" i="2"/>
  <c r="BP78" i="2"/>
  <c r="BO78" i="2"/>
  <c r="BN78" i="2"/>
  <c r="BM78" i="2"/>
  <c r="BL78" i="2"/>
  <c r="BK78" i="2"/>
  <c r="BJ78" i="2"/>
  <c r="BI78" i="2"/>
  <c r="BH78" i="2"/>
  <c r="BG78" i="2"/>
  <c r="BF78" i="2"/>
  <c r="BE78" i="2"/>
  <c r="BD78" i="2"/>
  <c r="BC78" i="2"/>
  <c r="BB78" i="2"/>
  <c r="BA78" i="2"/>
  <c r="AZ78" i="2"/>
  <c r="AY78" i="2"/>
  <c r="AX78" i="2"/>
  <c r="AW78" i="2"/>
  <c r="AV78" i="2"/>
  <c r="AU78" i="2"/>
  <c r="AT78" i="2"/>
  <c r="AS78" i="2"/>
  <c r="AR78" i="2"/>
  <c r="AQ78" i="2"/>
  <c r="AP78" i="2"/>
  <c r="AO78" i="2"/>
  <c r="AN78" i="2"/>
  <c r="AM78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EH77" i="2"/>
  <c r="EG77" i="2"/>
  <c r="EF77" i="2"/>
  <c r="EE77" i="2"/>
  <c r="ED77" i="2"/>
  <c r="EC77" i="2"/>
  <c r="EB77" i="2"/>
  <c r="EA77" i="2"/>
  <c r="DZ77" i="2"/>
  <c r="DY77" i="2"/>
  <c r="DX77" i="2"/>
  <c r="DW77" i="2"/>
  <c r="DV77" i="2"/>
  <c r="DU77" i="2"/>
  <c r="DT77" i="2"/>
  <c r="DS77" i="2"/>
  <c r="DR77" i="2"/>
  <c r="DQ77" i="2"/>
  <c r="DP77" i="2"/>
  <c r="DO77" i="2"/>
  <c r="DN77" i="2"/>
  <c r="DM77" i="2"/>
  <c r="DL77" i="2"/>
  <c r="DK77" i="2"/>
  <c r="DJ77" i="2"/>
  <c r="DI77" i="2"/>
  <c r="DH77" i="2"/>
  <c r="DG77" i="2"/>
  <c r="DF77" i="2"/>
  <c r="DE77" i="2"/>
  <c r="DD77" i="2"/>
  <c r="DC77" i="2"/>
  <c r="DB77" i="2"/>
  <c r="DA77" i="2"/>
  <c r="CZ77" i="2"/>
  <c r="CY77" i="2"/>
  <c r="CX77" i="2"/>
  <c r="CW77" i="2"/>
  <c r="CV77" i="2"/>
  <c r="CU77" i="2"/>
  <c r="CT77" i="2"/>
  <c r="CS77" i="2"/>
  <c r="CR77" i="2"/>
  <c r="CQ77" i="2"/>
  <c r="CP77" i="2"/>
  <c r="CO77" i="2"/>
  <c r="CN77" i="2"/>
  <c r="CM77" i="2"/>
  <c r="CL77" i="2"/>
  <c r="CK77" i="2"/>
  <c r="CJ77" i="2"/>
  <c r="CI77" i="2"/>
  <c r="CH77" i="2"/>
  <c r="CG77" i="2"/>
  <c r="CF77" i="2"/>
  <c r="CE77" i="2"/>
  <c r="CD77" i="2"/>
  <c r="CC77" i="2"/>
  <c r="CB77" i="2"/>
  <c r="CA77" i="2"/>
  <c r="BZ77" i="2"/>
  <c r="BY77" i="2"/>
  <c r="BX77" i="2"/>
  <c r="BW77" i="2"/>
  <c r="BV77" i="2"/>
  <c r="BU77" i="2"/>
  <c r="BT77" i="2"/>
  <c r="BS77" i="2"/>
  <c r="BR77" i="2"/>
  <c r="BQ77" i="2"/>
  <c r="BP77" i="2"/>
  <c r="BO77" i="2"/>
  <c r="BN77" i="2"/>
  <c r="BM77" i="2"/>
  <c r="BL77" i="2"/>
  <c r="BK77" i="2"/>
  <c r="BJ77" i="2"/>
  <c r="BI77" i="2"/>
  <c r="BH77" i="2"/>
  <c r="BG77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EH76" i="2"/>
  <c r="EG76" i="2"/>
  <c r="EF76" i="2"/>
  <c r="EE76" i="2"/>
  <c r="ED76" i="2"/>
  <c r="EC76" i="2"/>
  <c r="EB76" i="2"/>
  <c r="EA76" i="2"/>
  <c r="DZ76" i="2"/>
  <c r="DY76" i="2"/>
  <c r="DX76" i="2"/>
  <c r="DW76" i="2"/>
  <c r="DV76" i="2"/>
  <c r="DU76" i="2"/>
  <c r="DT76" i="2"/>
  <c r="DS76" i="2"/>
  <c r="DR76" i="2"/>
  <c r="DQ76" i="2"/>
  <c r="DP76" i="2"/>
  <c r="DO76" i="2"/>
  <c r="DN76" i="2"/>
  <c r="DM76" i="2"/>
  <c r="DL76" i="2"/>
  <c r="DK76" i="2"/>
  <c r="DJ76" i="2"/>
  <c r="DI76" i="2"/>
  <c r="DH76" i="2"/>
  <c r="DG76" i="2"/>
  <c r="DF76" i="2"/>
  <c r="DE76" i="2"/>
  <c r="DD76" i="2"/>
  <c r="DC76" i="2"/>
  <c r="DB76" i="2"/>
  <c r="DA76" i="2"/>
  <c r="CZ76" i="2"/>
  <c r="CY76" i="2"/>
  <c r="CX76" i="2"/>
  <c r="CW76" i="2"/>
  <c r="CV76" i="2"/>
  <c r="CU76" i="2"/>
  <c r="CT76" i="2"/>
  <c r="CS76" i="2"/>
  <c r="CR76" i="2"/>
  <c r="CQ76" i="2"/>
  <c r="CP76" i="2"/>
  <c r="CO76" i="2"/>
  <c r="CN76" i="2"/>
  <c r="CM76" i="2"/>
  <c r="CL76" i="2"/>
  <c r="CK76" i="2"/>
  <c r="CJ76" i="2"/>
  <c r="CI76" i="2"/>
  <c r="CH76" i="2"/>
  <c r="CG76" i="2"/>
  <c r="CF76" i="2"/>
  <c r="CE76" i="2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L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EH75" i="2"/>
  <c r="EG75" i="2"/>
  <c r="EF75" i="2"/>
  <c r="EE75" i="2"/>
  <c r="ED75" i="2"/>
  <c r="EC75" i="2"/>
  <c r="EB75" i="2"/>
  <c r="EA75" i="2"/>
  <c r="DZ75" i="2"/>
  <c r="DY75" i="2"/>
  <c r="DX75" i="2"/>
  <c r="DW75" i="2"/>
  <c r="DV75" i="2"/>
  <c r="DU75" i="2"/>
  <c r="DT75" i="2"/>
  <c r="DS75" i="2"/>
  <c r="DR75" i="2"/>
  <c r="DQ75" i="2"/>
  <c r="DP75" i="2"/>
  <c r="DO75" i="2"/>
  <c r="DN75" i="2"/>
  <c r="DM75" i="2"/>
  <c r="DL75" i="2"/>
  <c r="DK75" i="2"/>
  <c r="DJ75" i="2"/>
  <c r="DI75" i="2"/>
  <c r="DH75" i="2"/>
  <c r="DG75" i="2"/>
  <c r="DF75" i="2"/>
  <c r="DE75" i="2"/>
  <c r="DD75" i="2"/>
  <c r="DC75" i="2"/>
  <c r="DB75" i="2"/>
  <c r="DA75" i="2"/>
  <c r="CZ75" i="2"/>
  <c r="CY75" i="2"/>
  <c r="CX75" i="2"/>
  <c r="CW75" i="2"/>
  <c r="CV75" i="2"/>
  <c r="CU75" i="2"/>
  <c r="CT75" i="2"/>
  <c r="CS75" i="2"/>
  <c r="CR75" i="2"/>
  <c r="CQ75" i="2"/>
  <c r="CP75" i="2"/>
  <c r="CO75" i="2"/>
  <c r="CN75" i="2"/>
  <c r="CM75" i="2"/>
  <c r="CL75" i="2"/>
  <c r="CK75" i="2"/>
  <c r="CJ75" i="2"/>
  <c r="CI75" i="2"/>
  <c r="CH75" i="2"/>
  <c r="CG75" i="2"/>
  <c r="CF75" i="2"/>
  <c r="CE75" i="2"/>
  <c r="CD75" i="2"/>
  <c r="CC75" i="2"/>
  <c r="CB75" i="2"/>
  <c r="CA75" i="2"/>
  <c r="BZ75" i="2"/>
  <c r="BY75" i="2"/>
  <c r="BX75" i="2"/>
  <c r="BW75" i="2"/>
  <c r="BV75" i="2"/>
  <c r="BU75" i="2"/>
  <c r="BT75" i="2"/>
  <c r="BS75" i="2"/>
  <c r="BR75" i="2"/>
  <c r="BQ75" i="2"/>
  <c r="BP75" i="2"/>
  <c r="BO75" i="2"/>
  <c r="BN75" i="2"/>
  <c r="BM75" i="2"/>
  <c r="BL75" i="2"/>
  <c r="BK75" i="2"/>
  <c r="BJ75" i="2"/>
  <c r="BI75" i="2"/>
  <c r="BH75" i="2"/>
  <c r="BG75" i="2"/>
  <c r="BF75" i="2"/>
  <c r="BE75" i="2"/>
  <c r="BD75" i="2"/>
  <c r="BC75" i="2"/>
  <c r="BB75" i="2"/>
  <c r="BA75" i="2"/>
  <c r="AZ75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EH74" i="2"/>
  <c r="EG74" i="2"/>
  <c r="EF74" i="2"/>
  <c r="EE74" i="2"/>
  <c r="ED74" i="2"/>
  <c r="EC74" i="2"/>
  <c r="EB74" i="2"/>
  <c r="EA74" i="2"/>
  <c r="DZ74" i="2"/>
  <c r="DY74" i="2"/>
  <c r="DX74" i="2"/>
  <c r="DW74" i="2"/>
  <c r="DV74" i="2"/>
  <c r="DU74" i="2"/>
  <c r="DT74" i="2"/>
  <c r="DS74" i="2"/>
  <c r="DR74" i="2"/>
  <c r="DQ74" i="2"/>
  <c r="DP74" i="2"/>
  <c r="DO74" i="2"/>
  <c r="DN74" i="2"/>
  <c r="DM74" i="2"/>
  <c r="DL74" i="2"/>
  <c r="DK74" i="2"/>
  <c r="DJ74" i="2"/>
  <c r="DI74" i="2"/>
  <c r="DH74" i="2"/>
  <c r="DG74" i="2"/>
  <c r="DF74" i="2"/>
  <c r="DE74" i="2"/>
  <c r="DD74" i="2"/>
  <c r="DC74" i="2"/>
  <c r="DB74" i="2"/>
  <c r="DA74" i="2"/>
  <c r="CZ74" i="2"/>
  <c r="CY74" i="2"/>
  <c r="CX74" i="2"/>
  <c r="CW74" i="2"/>
  <c r="CV74" i="2"/>
  <c r="CU74" i="2"/>
  <c r="CT74" i="2"/>
  <c r="CS74" i="2"/>
  <c r="CR74" i="2"/>
  <c r="CQ74" i="2"/>
  <c r="CP74" i="2"/>
  <c r="CO74" i="2"/>
  <c r="CN74" i="2"/>
  <c r="CM74" i="2"/>
  <c r="CL74" i="2"/>
  <c r="CK74" i="2"/>
  <c r="CJ74" i="2"/>
  <c r="CI74" i="2"/>
  <c r="CH74" i="2"/>
  <c r="CG74" i="2"/>
  <c r="CF74" i="2"/>
  <c r="CE74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L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EH73" i="2"/>
  <c r="EG73" i="2"/>
  <c r="EF73" i="2"/>
  <c r="EE73" i="2"/>
  <c r="ED73" i="2"/>
  <c r="EC73" i="2"/>
  <c r="EB73" i="2"/>
  <c r="EA73" i="2"/>
  <c r="DZ73" i="2"/>
  <c r="DY73" i="2"/>
  <c r="DX73" i="2"/>
  <c r="DW73" i="2"/>
  <c r="DV73" i="2"/>
  <c r="DU73" i="2"/>
  <c r="DT73" i="2"/>
  <c r="DS73" i="2"/>
  <c r="DR73" i="2"/>
  <c r="DQ73" i="2"/>
  <c r="DP73" i="2"/>
  <c r="DO73" i="2"/>
  <c r="DN73" i="2"/>
  <c r="DM73" i="2"/>
  <c r="DL73" i="2"/>
  <c r="DK73" i="2"/>
  <c r="DJ73" i="2"/>
  <c r="DI73" i="2"/>
  <c r="DH73" i="2"/>
  <c r="DG73" i="2"/>
  <c r="DF73" i="2"/>
  <c r="DE73" i="2"/>
  <c r="DD73" i="2"/>
  <c r="DC73" i="2"/>
  <c r="DB73" i="2"/>
  <c r="DA73" i="2"/>
  <c r="CZ73" i="2"/>
  <c r="CY73" i="2"/>
  <c r="CX73" i="2"/>
  <c r="CW73" i="2"/>
  <c r="CV73" i="2"/>
  <c r="CU73" i="2"/>
  <c r="CT73" i="2"/>
  <c r="CS73" i="2"/>
  <c r="CR73" i="2"/>
  <c r="CQ73" i="2"/>
  <c r="CP73" i="2"/>
  <c r="CO73" i="2"/>
  <c r="CN73" i="2"/>
  <c r="CM73" i="2"/>
  <c r="CL73" i="2"/>
  <c r="CK73" i="2"/>
  <c r="CJ73" i="2"/>
  <c r="CI73" i="2"/>
  <c r="CH73" i="2"/>
  <c r="CG73" i="2"/>
  <c r="CF73" i="2"/>
  <c r="CE73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L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EH72" i="2"/>
  <c r="EG72" i="2"/>
  <c r="EF72" i="2"/>
  <c r="EE72" i="2"/>
  <c r="ED72" i="2"/>
  <c r="EC72" i="2"/>
  <c r="EB72" i="2"/>
  <c r="EA72" i="2"/>
  <c r="DZ72" i="2"/>
  <c r="DY72" i="2"/>
  <c r="DX72" i="2"/>
  <c r="DW72" i="2"/>
  <c r="DV72" i="2"/>
  <c r="DU72" i="2"/>
  <c r="DT72" i="2"/>
  <c r="DS72" i="2"/>
  <c r="DR72" i="2"/>
  <c r="DQ72" i="2"/>
  <c r="DP72" i="2"/>
  <c r="DO72" i="2"/>
  <c r="DN72" i="2"/>
  <c r="DM72" i="2"/>
  <c r="DL72" i="2"/>
  <c r="DK72" i="2"/>
  <c r="DJ72" i="2"/>
  <c r="DI72" i="2"/>
  <c r="DH72" i="2"/>
  <c r="DG72" i="2"/>
  <c r="DF72" i="2"/>
  <c r="DE72" i="2"/>
  <c r="DD72" i="2"/>
  <c r="DC72" i="2"/>
  <c r="DB72" i="2"/>
  <c r="DA72" i="2"/>
  <c r="CZ72" i="2"/>
  <c r="CY72" i="2"/>
  <c r="CX72" i="2"/>
  <c r="CW72" i="2"/>
  <c r="CV72" i="2"/>
  <c r="CU72" i="2"/>
  <c r="CT72" i="2"/>
  <c r="CS72" i="2"/>
  <c r="CR72" i="2"/>
  <c r="CQ72" i="2"/>
  <c r="CP72" i="2"/>
  <c r="CO72" i="2"/>
  <c r="CN72" i="2"/>
  <c r="CM72" i="2"/>
  <c r="CL72" i="2"/>
  <c r="CK72" i="2"/>
  <c r="CJ72" i="2"/>
  <c r="CI72" i="2"/>
  <c r="CH72" i="2"/>
  <c r="CG72" i="2"/>
  <c r="CF72" i="2"/>
  <c r="CE72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L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EH71" i="2"/>
  <c r="EG71" i="2"/>
  <c r="EF71" i="2"/>
  <c r="EE71" i="2"/>
  <c r="ED71" i="2"/>
  <c r="EC71" i="2"/>
  <c r="EB71" i="2"/>
  <c r="EA71" i="2"/>
  <c r="DZ71" i="2"/>
  <c r="DY71" i="2"/>
  <c r="DX71" i="2"/>
  <c r="DW71" i="2"/>
  <c r="DV71" i="2"/>
  <c r="DU71" i="2"/>
  <c r="DT71" i="2"/>
  <c r="DS71" i="2"/>
  <c r="DR71" i="2"/>
  <c r="DQ71" i="2"/>
  <c r="DP71" i="2"/>
  <c r="DO71" i="2"/>
  <c r="DN71" i="2"/>
  <c r="DM71" i="2"/>
  <c r="DL71" i="2"/>
  <c r="DK71" i="2"/>
  <c r="DJ71" i="2"/>
  <c r="DI71" i="2"/>
  <c r="DH71" i="2"/>
  <c r="DG71" i="2"/>
  <c r="DF71" i="2"/>
  <c r="DE71" i="2"/>
  <c r="DD71" i="2"/>
  <c r="DC71" i="2"/>
  <c r="DB71" i="2"/>
  <c r="DA71" i="2"/>
  <c r="CZ71" i="2"/>
  <c r="CY71" i="2"/>
  <c r="CX71" i="2"/>
  <c r="CW71" i="2"/>
  <c r="CV71" i="2"/>
  <c r="CU71" i="2"/>
  <c r="CT71" i="2"/>
  <c r="CS71" i="2"/>
  <c r="CR71" i="2"/>
  <c r="CQ71" i="2"/>
  <c r="CP71" i="2"/>
  <c r="CO71" i="2"/>
  <c r="CN71" i="2"/>
  <c r="CM71" i="2"/>
  <c r="CL71" i="2"/>
  <c r="CK71" i="2"/>
  <c r="CJ71" i="2"/>
  <c r="CI71" i="2"/>
  <c r="CH71" i="2"/>
  <c r="CG71" i="2"/>
  <c r="CF71" i="2"/>
  <c r="CE71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L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EH70" i="2"/>
  <c r="EG70" i="2"/>
  <c r="EF70" i="2"/>
  <c r="EE70" i="2"/>
  <c r="ED70" i="2"/>
  <c r="EC70" i="2"/>
  <c r="EB70" i="2"/>
  <c r="EA70" i="2"/>
  <c r="DZ70" i="2"/>
  <c r="DY70" i="2"/>
  <c r="DX70" i="2"/>
  <c r="DW70" i="2"/>
  <c r="DV70" i="2"/>
  <c r="DU70" i="2"/>
  <c r="DT70" i="2"/>
  <c r="DS70" i="2"/>
  <c r="DR70" i="2"/>
  <c r="DQ70" i="2"/>
  <c r="DP70" i="2"/>
  <c r="DO70" i="2"/>
  <c r="DN70" i="2"/>
  <c r="DM70" i="2"/>
  <c r="DL70" i="2"/>
  <c r="DK70" i="2"/>
  <c r="DJ70" i="2"/>
  <c r="DI70" i="2"/>
  <c r="DH70" i="2"/>
  <c r="DG70" i="2"/>
  <c r="DF70" i="2"/>
  <c r="DE70" i="2"/>
  <c r="DD70" i="2"/>
  <c r="DC70" i="2"/>
  <c r="DB70" i="2"/>
  <c r="DA70" i="2"/>
  <c r="CZ70" i="2"/>
  <c r="CY70" i="2"/>
  <c r="CX70" i="2"/>
  <c r="CW70" i="2"/>
  <c r="CV70" i="2"/>
  <c r="CU70" i="2"/>
  <c r="CT70" i="2"/>
  <c r="CS70" i="2"/>
  <c r="CR70" i="2"/>
  <c r="CQ70" i="2"/>
  <c r="CP70" i="2"/>
  <c r="CO70" i="2"/>
  <c r="CN70" i="2"/>
  <c r="CM70" i="2"/>
  <c r="CL70" i="2"/>
  <c r="CK70" i="2"/>
  <c r="CJ70" i="2"/>
  <c r="CI70" i="2"/>
  <c r="CH70" i="2"/>
  <c r="CG70" i="2"/>
  <c r="CF70" i="2"/>
  <c r="CE70" i="2"/>
  <c r="CD70" i="2"/>
  <c r="CC70" i="2"/>
  <c r="CB70" i="2"/>
  <c r="CA70" i="2"/>
  <c r="BZ70" i="2"/>
  <c r="BY70" i="2"/>
  <c r="BX70" i="2"/>
  <c r="BW70" i="2"/>
  <c r="BV70" i="2"/>
  <c r="BU70" i="2"/>
  <c r="BT70" i="2"/>
  <c r="BS70" i="2"/>
  <c r="BR70" i="2"/>
  <c r="BQ70" i="2"/>
  <c r="BP70" i="2"/>
  <c r="BO70" i="2"/>
  <c r="BN70" i="2"/>
  <c r="BM70" i="2"/>
  <c r="BL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EH69" i="2"/>
  <c r="EG69" i="2"/>
  <c r="EF69" i="2"/>
  <c r="EE69" i="2"/>
  <c r="ED69" i="2"/>
  <c r="EC69" i="2"/>
  <c r="EB69" i="2"/>
  <c r="EA69" i="2"/>
  <c r="DZ69" i="2"/>
  <c r="DY69" i="2"/>
  <c r="DX69" i="2"/>
  <c r="DW69" i="2"/>
  <c r="DV69" i="2"/>
  <c r="DU69" i="2"/>
  <c r="DT69" i="2"/>
  <c r="DS69" i="2"/>
  <c r="DR69" i="2"/>
  <c r="DQ69" i="2"/>
  <c r="DP69" i="2"/>
  <c r="DO69" i="2"/>
  <c r="DN69" i="2"/>
  <c r="DM69" i="2"/>
  <c r="DL69" i="2"/>
  <c r="DK69" i="2"/>
  <c r="DJ69" i="2"/>
  <c r="DI69" i="2"/>
  <c r="DH69" i="2"/>
  <c r="DG69" i="2"/>
  <c r="DF69" i="2"/>
  <c r="DE69" i="2"/>
  <c r="DD69" i="2"/>
  <c r="DC69" i="2"/>
  <c r="DB69" i="2"/>
  <c r="DA69" i="2"/>
  <c r="CZ69" i="2"/>
  <c r="CY69" i="2"/>
  <c r="CX69" i="2"/>
  <c r="CW69" i="2"/>
  <c r="CV69" i="2"/>
  <c r="CU69" i="2"/>
  <c r="CT69" i="2"/>
  <c r="CS69" i="2"/>
  <c r="CR69" i="2"/>
  <c r="CQ69" i="2"/>
  <c r="CP69" i="2"/>
  <c r="CO69" i="2"/>
  <c r="CN69" i="2"/>
  <c r="CM69" i="2"/>
  <c r="CL69" i="2"/>
  <c r="CK69" i="2"/>
  <c r="CJ69" i="2"/>
  <c r="CI69" i="2"/>
  <c r="CH69" i="2"/>
  <c r="CG69" i="2"/>
  <c r="CF69" i="2"/>
  <c r="CE69" i="2"/>
  <c r="CD69" i="2"/>
  <c r="CC69" i="2"/>
  <c r="CB69" i="2"/>
  <c r="CA69" i="2"/>
  <c r="BZ69" i="2"/>
  <c r="BY69" i="2"/>
  <c r="BX69" i="2"/>
  <c r="BW69" i="2"/>
  <c r="BV69" i="2"/>
  <c r="BU69" i="2"/>
  <c r="BT69" i="2"/>
  <c r="BS69" i="2"/>
  <c r="BR69" i="2"/>
  <c r="BQ69" i="2"/>
  <c r="BP69" i="2"/>
  <c r="BO69" i="2"/>
  <c r="BN69" i="2"/>
  <c r="BM69" i="2"/>
  <c r="BL69" i="2"/>
  <c r="BK69" i="2"/>
  <c r="BJ69" i="2"/>
  <c r="BI69" i="2"/>
  <c r="BH69" i="2"/>
  <c r="BG69" i="2"/>
  <c r="BF69" i="2"/>
  <c r="BE69" i="2"/>
  <c r="BD69" i="2"/>
  <c r="BC69" i="2"/>
  <c r="BB69" i="2"/>
  <c r="BA69" i="2"/>
  <c r="AZ69" i="2"/>
  <c r="AY69" i="2"/>
  <c r="AX69" i="2"/>
  <c r="AW69" i="2"/>
  <c r="AV69" i="2"/>
  <c r="AU69" i="2"/>
  <c r="AT69" i="2"/>
  <c r="AS69" i="2"/>
  <c r="AR69" i="2"/>
  <c r="AQ69" i="2"/>
  <c r="AP69" i="2"/>
  <c r="AO69" i="2"/>
  <c r="AN69" i="2"/>
  <c r="AM69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EH67" i="2"/>
  <c r="EG67" i="2"/>
  <c r="EF67" i="2"/>
  <c r="EE67" i="2"/>
  <c r="ED67" i="2"/>
  <c r="EC67" i="2"/>
  <c r="EB67" i="2"/>
  <c r="EA67" i="2"/>
  <c r="DZ67" i="2"/>
  <c r="DY67" i="2"/>
  <c r="DX67" i="2"/>
  <c r="DW67" i="2"/>
  <c r="DV67" i="2"/>
  <c r="DU67" i="2"/>
  <c r="DT67" i="2"/>
  <c r="DS67" i="2"/>
  <c r="DR67" i="2"/>
  <c r="DQ67" i="2"/>
  <c r="DP67" i="2"/>
  <c r="DO67" i="2"/>
  <c r="DN67" i="2"/>
  <c r="DM67" i="2"/>
  <c r="DL67" i="2"/>
  <c r="DK67" i="2"/>
  <c r="DJ67" i="2"/>
  <c r="DI67" i="2"/>
  <c r="DH67" i="2"/>
  <c r="DG67" i="2"/>
  <c r="DF67" i="2"/>
  <c r="DE67" i="2"/>
  <c r="DD67" i="2"/>
  <c r="DC67" i="2"/>
  <c r="DB67" i="2"/>
  <c r="DA67" i="2"/>
  <c r="CZ67" i="2"/>
  <c r="CY67" i="2"/>
  <c r="CX67" i="2"/>
  <c r="CW67" i="2"/>
  <c r="CV67" i="2"/>
  <c r="CU67" i="2"/>
  <c r="CT67" i="2"/>
  <c r="CS67" i="2"/>
  <c r="CR67" i="2"/>
  <c r="CQ67" i="2"/>
  <c r="CP67" i="2"/>
  <c r="CO67" i="2"/>
  <c r="CN67" i="2"/>
  <c r="CM67" i="2"/>
  <c r="CL67" i="2"/>
  <c r="CK67" i="2"/>
  <c r="CJ67" i="2"/>
  <c r="CI67" i="2"/>
  <c r="CH67" i="2"/>
  <c r="CG67" i="2"/>
  <c r="CF67" i="2"/>
  <c r="CE67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EH66" i="2"/>
  <c r="EG66" i="2"/>
  <c r="EF66" i="2"/>
  <c r="EE66" i="2"/>
  <c r="ED66" i="2"/>
  <c r="EC66" i="2"/>
  <c r="EB66" i="2"/>
  <c r="EA66" i="2"/>
  <c r="DZ66" i="2"/>
  <c r="DY66" i="2"/>
  <c r="DX66" i="2"/>
  <c r="DW66" i="2"/>
  <c r="DV66" i="2"/>
  <c r="DU66" i="2"/>
  <c r="DT66" i="2"/>
  <c r="DS66" i="2"/>
  <c r="DR66" i="2"/>
  <c r="DQ66" i="2"/>
  <c r="DP66" i="2"/>
  <c r="DO66" i="2"/>
  <c r="DN66" i="2"/>
  <c r="DM66" i="2"/>
  <c r="DL66" i="2"/>
  <c r="DK66" i="2"/>
  <c r="DJ66" i="2"/>
  <c r="DI66" i="2"/>
  <c r="DH66" i="2"/>
  <c r="DG66" i="2"/>
  <c r="DF66" i="2"/>
  <c r="DE66" i="2"/>
  <c r="DD66" i="2"/>
  <c r="DC66" i="2"/>
  <c r="DB66" i="2"/>
  <c r="DA66" i="2"/>
  <c r="CZ66" i="2"/>
  <c r="CY66" i="2"/>
  <c r="CX66" i="2"/>
  <c r="CW66" i="2"/>
  <c r="CV66" i="2"/>
  <c r="CU66" i="2"/>
  <c r="CT66" i="2"/>
  <c r="CS66" i="2"/>
  <c r="CR66" i="2"/>
  <c r="CQ66" i="2"/>
  <c r="CP66" i="2"/>
  <c r="CO66" i="2"/>
  <c r="CN66" i="2"/>
  <c r="CM66" i="2"/>
  <c r="CL66" i="2"/>
  <c r="CK66" i="2"/>
  <c r="CJ66" i="2"/>
  <c r="CI66" i="2"/>
  <c r="CH66" i="2"/>
  <c r="CG66" i="2"/>
  <c r="CF66" i="2"/>
  <c r="CE66" i="2"/>
  <c r="CD66" i="2"/>
  <c r="CC66" i="2"/>
  <c r="CB66" i="2"/>
  <c r="CA66" i="2"/>
  <c r="BZ66" i="2"/>
  <c r="BY66" i="2"/>
  <c r="BX66" i="2"/>
  <c r="BW66" i="2"/>
  <c r="BV66" i="2"/>
  <c r="BU66" i="2"/>
  <c r="BT66" i="2"/>
  <c r="BS66" i="2"/>
  <c r="BR66" i="2"/>
  <c r="BQ66" i="2"/>
  <c r="BP66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EH65" i="2"/>
  <c r="EG65" i="2"/>
  <c r="EF65" i="2"/>
  <c r="EE65" i="2"/>
  <c r="ED65" i="2"/>
  <c r="EC65" i="2"/>
  <c r="EB65" i="2"/>
  <c r="EA65" i="2"/>
  <c r="DZ65" i="2"/>
  <c r="DY65" i="2"/>
  <c r="DX65" i="2"/>
  <c r="DW65" i="2"/>
  <c r="DV65" i="2"/>
  <c r="DU65" i="2"/>
  <c r="DT65" i="2"/>
  <c r="DS65" i="2"/>
  <c r="DR65" i="2"/>
  <c r="DQ65" i="2"/>
  <c r="DP65" i="2"/>
  <c r="DO65" i="2"/>
  <c r="DN65" i="2"/>
  <c r="DM65" i="2"/>
  <c r="DL65" i="2"/>
  <c r="DK65" i="2"/>
  <c r="DJ65" i="2"/>
  <c r="DI65" i="2"/>
  <c r="DH65" i="2"/>
  <c r="DG65" i="2"/>
  <c r="DF65" i="2"/>
  <c r="DE65" i="2"/>
  <c r="DD65" i="2"/>
  <c r="DC65" i="2"/>
  <c r="DB65" i="2"/>
  <c r="DA65" i="2"/>
  <c r="CZ65" i="2"/>
  <c r="CY65" i="2"/>
  <c r="CX65" i="2"/>
  <c r="CW65" i="2"/>
  <c r="CV65" i="2"/>
  <c r="CU65" i="2"/>
  <c r="CT65" i="2"/>
  <c r="CS65" i="2"/>
  <c r="CR65" i="2"/>
  <c r="CQ65" i="2"/>
  <c r="CP65" i="2"/>
  <c r="CO65" i="2"/>
  <c r="CN65" i="2"/>
  <c r="CM65" i="2"/>
  <c r="CL65" i="2"/>
  <c r="CK65" i="2"/>
  <c r="CJ65" i="2"/>
  <c r="CI65" i="2"/>
  <c r="CH65" i="2"/>
  <c r="CG65" i="2"/>
  <c r="CF65" i="2"/>
  <c r="CE65" i="2"/>
  <c r="CD65" i="2"/>
  <c r="CC65" i="2"/>
  <c r="CB65" i="2"/>
  <c r="CA65" i="2"/>
  <c r="BZ65" i="2"/>
  <c r="BY65" i="2"/>
  <c r="BX65" i="2"/>
  <c r="BW65" i="2"/>
  <c r="BV65" i="2"/>
  <c r="BU65" i="2"/>
  <c r="BT65" i="2"/>
  <c r="BS65" i="2"/>
  <c r="BR65" i="2"/>
  <c r="BQ65" i="2"/>
  <c r="BP65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EH64" i="2"/>
  <c r="EG64" i="2"/>
  <c r="EF64" i="2"/>
  <c r="EE64" i="2"/>
  <c r="ED64" i="2"/>
  <c r="EC64" i="2"/>
  <c r="EB64" i="2"/>
  <c r="EA64" i="2"/>
  <c r="DZ64" i="2"/>
  <c r="DY64" i="2"/>
  <c r="DX64" i="2"/>
  <c r="DW64" i="2"/>
  <c r="DV64" i="2"/>
  <c r="DU64" i="2"/>
  <c r="DT64" i="2"/>
  <c r="DS64" i="2"/>
  <c r="DR64" i="2"/>
  <c r="DQ64" i="2"/>
  <c r="DP64" i="2"/>
  <c r="DO64" i="2"/>
  <c r="DN64" i="2"/>
  <c r="DM64" i="2"/>
  <c r="DL64" i="2"/>
  <c r="DK64" i="2"/>
  <c r="DJ64" i="2"/>
  <c r="DI64" i="2"/>
  <c r="DH64" i="2"/>
  <c r="DG64" i="2"/>
  <c r="DF64" i="2"/>
  <c r="DE64" i="2"/>
  <c r="DD64" i="2"/>
  <c r="DC64" i="2"/>
  <c r="DB64" i="2"/>
  <c r="DA64" i="2"/>
  <c r="CZ64" i="2"/>
  <c r="CY64" i="2"/>
  <c r="CX64" i="2"/>
  <c r="CW64" i="2"/>
  <c r="CV64" i="2"/>
  <c r="CU64" i="2"/>
  <c r="CT64" i="2"/>
  <c r="CS64" i="2"/>
  <c r="CR64" i="2"/>
  <c r="CQ64" i="2"/>
  <c r="CP64" i="2"/>
  <c r="CO64" i="2"/>
  <c r="CN64" i="2"/>
  <c r="CM64" i="2"/>
  <c r="CL64" i="2"/>
  <c r="CK64" i="2"/>
  <c r="CJ64" i="2"/>
  <c r="CI64" i="2"/>
  <c r="CH64" i="2"/>
  <c r="CG64" i="2"/>
  <c r="CF64" i="2"/>
  <c r="CE64" i="2"/>
  <c r="CD64" i="2"/>
  <c r="CC64" i="2"/>
  <c r="CB64" i="2"/>
  <c r="CA64" i="2"/>
  <c r="BZ64" i="2"/>
  <c r="BY64" i="2"/>
  <c r="BX64" i="2"/>
  <c r="BW64" i="2"/>
  <c r="BV64" i="2"/>
  <c r="BU64" i="2"/>
  <c r="BT64" i="2"/>
  <c r="BS64" i="2"/>
  <c r="BR64" i="2"/>
  <c r="BQ64" i="2"/>
  <c r="BP64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EH63" i="2"/>
  <c r="EG63" i="2"/>
  <c r="EF63" i="2"/>
  <c r="EE63" i="2"/>
  <c r="ED63" i="2"/>
  <c r="EC63" i="2"/>
  <c r="EB63" i="2"/>
  <c r="EA63" i="2"/>
  <c r="DZ63" i="2"/>
  <c r="DY63" i="2"/>
  <c r="DX63" i="2"/>
  <c r="DW63" i="2"/>
  <c r="DV63" i="2"/>
  <c r="DU63" i="2"/>
  <c r="DT63" i="2"/>
  <c r="DS63" i="2"/>
  <c r="DR63" i="2"/>
  <c r="DQ63" i="2"/>
  <c r="DP63" i="2"/>
  <c r="DO63" i="2"/>
  <c r="DN63" i="2"/>
  <c r="DM63" i="2"/>
  <c r="DL63" i="2"/>
  <c r="DK63" i="2"/>
  <c r="DJ63" i="2"/>
  <c r="DI63" i="2"/>
  <c r="DH63" i="2"/>
  <c r="DG63" i="2"/>
  <c r="DF63" i="2"/>
  <c r="DE63" i="2"/>
  <c r="DD63" i="2"/>
  <c r="DC63" i="2"/>
  <c r="DB63" i="2"/>
  <c r="DA63" i="2"/>
  <c r="CZ63" i="2"/>
  <c r="CY63" i="2"/>
  <c r="CX63" i="2"/>
  <c r="CW63" i="2"/>
  <c r="CV63" i="2"/>
  <c r="CU63" i="2"/>
  <c r="CT63" i="2"/>
  <c r="CS63" i="2"/>
  <c r="CR63" i="2"/>
  <c r="CQ63" i="2"/>
  <c r="CP63" i="2"/>
  <c r="CO63" i="2"/>
  <c r="CN63" i="2"/>
  <c r="CM63" i="2"/>
  <c r="CL63" i="2"/>
  <c r="CK63" i="2"/>
  <c r="CJ63" i="2"/>
  <c r="CI63" i="2"/>
  <c r="CH63" i="2"/>
  <c r="CG63" i="2"/>
  <c r="CF63" i="2"/>
  <c r="CE63" i="2"/>
  <c r="CD63" i="2"/>
  <c r="CC63" i="2"/>
  <c r="CB63" i="2"/>
  <c r="CA63" i="2"/>
  <c r="BZ63" i="2"/>
  <c r="BY63" i="2"/>
  <c r="BX63" i="2"/>
  <c r="BW63" i="2"/>
  <c r="BV63" i="2"/>
  <c r="BU63" i="2"/>
  <c r="BT63" i="2"/>
  <c r="BS63" i="2"/>
  <c r="BR63" i="2"/>
  <c r="BQ63" i="2"/>
  <c r="BP63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EH62" i="2"/>
  <c r="EG62" i="2"/>
  <c r="EF62" i="2"/>
  <c r="EE62" i="2"/>
  <c r="ED62" i="2"/>
  <c r="EC62" i="2"/>
  <c r="EB62" i="2"/>
  <c r="EA62" i="2"/>
  <c r="DZ62" i="2"/>
  <c r="DY62" i="2"/>
  <c r="DX62" i="2"/>
  <c r="DW62" i="2"/>
  <c r="DV62" i="2"/>
  <c r="DU62" i="2"/>
  <c r="DT62" i="2"/>
  <c r="DS62" i="2"/>
  <c r="DR62" i="2"/>
  <c r="DQ62" i="2"/>
  <c r="DP62" i="2"/>
  <c r="DO62" i="2"/>
  <c r="DN62" i="2"/>
  <c r="DM62" i="2"/>
  <c r="DL62" i="2"/>
  <c r="DK62" i="2"/>
  <c r="DJ62" i="2"/>
  <c r="DI62" i="2"/>
  <c r="DH62" i="2"/>
  <c r="DG62" i="2"/>
  <c r="DF62" i="2"/>
  <c r="DE62" i="2"/>
  <c r="DD62" i="2"/>
  <c r="DC62" i="2"/>
  <c r="DB62" i="2"/>
  <c r="DA62" i="2"/>
  <c r="CZ62" i="2"/>
  <c r="CY62" i="2"/>
  <c r="CX62" i="2"/>
  <c r="CW62" i="2"/>
  <c r="CV62" i="2"/>
  <c r="CU62" i="2"/>
  <c r="CT62" i="2"/>
  <c r="CS62" i="2"/>
  <c r="CR62" i="2"/>
  <c r="CQ62" i="2"/>
  <c r="CP62" i="2"/>
  <c r="CO62" i="2"/>
  <c r="CN62" i="2"/>
  <c r="CM62" i="2"/>
  <c r="CL62" i="2"/>
  <c r="CK62" i="2"/>
  <c r="CJ62" i="2"/>
  <c r="CI62" i="2"/>
  <c r="CH62" i="2"/>
  <c r="CG62" i="2"/>
  <c r="CF62" i="2"/>
  <c r="CE62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EH61" i="2"/>
  <c r="EG61" i="2"/>
  <c r="EF61" i="2"/>
  <c r="EE61" i="2"/>
  <c r="ED61" i="2"/>
  <c r="EC61" i="2"/>
  <c r="EB61" i="2"/>
  <c r="EA61" i="2"/>
  <c r="DZ61" i="2"/>
  <c r="DY61" i="2"/>
  <c r="DX61" i="2"/>
  <c r="DW61" i="2"/>
  <c r="DV61" i="2"/>
  <c r="DU61" i="2"/>
  <c r="DT61" i="2"/>
  <c r="DS61" i="2"/>
  <c r="DR61" i="2"/>
  <c r="DQ61" i="2"/>
  <c r="DP61" i="2"/>
  <c r="DO61" i="2"/>
  <c r="DN61" i="2"/>
  <c r="DM61" i="2"/>
  <c r="DL61" i="2"/>
  <c r="DK61" i="2"/>
  <c r="DJ61" i="2"/>
  <c r="DI61" i="2"/>
  <c r="DH61" i="2"/>
  <c r="DG61" i="2"/>
  <c r="DF61" i="2"/>
  <c r="DE61" i="2"/>
  <c r="DD61" i="2"/>
  <c r="DC61" i="2"/>
  <c r="DB61" i="2"/>
  <c r="DA61" i="2"/>
  <c r="CZ61" i="2"/>
  <c r="CY61" i="2"/>
  <c r="CX61" i="2"/>
  <c r="CW61" i="2"/>
  <c r="CV61" i="2"/>
  <c r="CU61" i="2"/>
  <c r="CT61" i="2"/>
  <c r="CS61" i="2"/>
  <c r="CR61" i="2"/>
  <c r="CQ61" i="2"/>
  <c r="CP61" i="2"/>
  <c r="CO61" i="2"/>
  <c r="CN61" i="2"/>
  <c r="CM61" i="2"/>
  <c r="CL61" i="2"/>
  <c r="CK61" i="2"/>
  <c r="CJ61" i="2"/>
  <c r="CI61" i="2"/>
  <c r="CH61" i="2"/>
  <c r="CG61" i="2"/>
  <c r="CF61" i="2"/>
  <c r="CE61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EH60" i="2"/>
  <c r="EG60" i="2"/>
  <c r="EF60" i="2"/>
  <c r="EE60" i="2"/>
  <c r="ED60" i="2"/>
  <c r="EC60" i="2"/>
  <c r="EB60" i="2"/>
  <c r="EA60" i="2"/>
  <c r="DZ60" i="2"/>
  <c r="DY60" i="2"/>
  <c r="DX60" i="2"/>
  <c r="DW60" i="2"/>
  <c r="DV60" i="2"/>
  <c r="DU60" i="2"/>
  <c r="DT60" i="2"/>
  <c r="DS60" i="2"/>
  <c r="DR60" i="2"/>
  <c r="DQ60" i="2"/>
  <c r="DP60" i="2"/>
  <c r="DO60" i="2"/>
  <c r="DN60" i="2"/>
  <c r="DM60" i="2"/>
  <c r="DL60" i="2"/>
  <c r="DK60" i="2"/>
  <c r="DJ60" i="2"/>
  <c r="DI60" i="2"/>
  <c r="DH60" i="2"/>
  <c r="DG60" i="2"/>
  <c r="DF60" i="2"/>
  <c r="DE60" i="2"/>
  <c r="DD60" i="2"/>
  <c r="DC60" i="2"/>
  <c r="DB60" i="2"/>
  <c r="DA60" i="2"/>
  <c r="CZ60" i="2"/>
  <c r="CY60" i="2"/>
  <c r="CX60" i="2"/>
  <c r="CW60" i="2"/>
  <c r="CV60" i="2"/>
  <c r="CU60" i="2"/>
  <c r="CT60" i="2"/>
  <c r="CS60" i="2"/>
  <c r="CR60" i="2"/>
  <c r="CQ60" i="2"/>
  <c r="CP60" i="2"/>
  <c r="CO60" i="2"/>
  <c r="CN60" i="2"/>
  <c r="CM60" i="2"/>
  <c r="CL60" i="2"/>
  <c r="CK60" i="2"/>
  <c r="CJ60" i="2"/>
  <c r="CI60" i="2"/>
  <c r="CH60" i="2"/>
  <c r="CG60" i="2"/>
  <c r="CF60" i="2"/>
  <c r="CE60" i="2"/>
  <c r="CD60" i="2"/>
  <c r="CC60" i="2"/>
  <c r="CB60" i="2"/>
  <c r="CA60" i="2"/>
  <c r="BZ60" i="2"/>
  <c r="BY60" i="2"/>
  <c r="BX60" i="2"/>
  <c r="BW60" i="2"/>
  <c r="BV60" i="2"/>
  <c r="BU60" i="2"/>
  <c r="BT60" i="2"/>
  <c r="BS60" i="2"/>
  <c r="BR60" i="2"/>
  <c r="BQ60" i="2"/>
  <c r="BP60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EH59" i="2"/>
  <c r="EG59" i="2"/>
  <c r="EF59" i="2"/>
  <c r="EE59" i="2"/>
  <c r="ED59" i="2"/>
  <c r="EC59" i="2"/>
  <c r="EB59" i="2"/>
  <c r="EA59" i="2"/>
  <c r="DZ59" i="2"/>
  <c r="DY59" i="2"/>
  <c r="DX59" i="2"/>
  <c r="DW59" i="2"/>
  <c r="DV59" i="2"/>
  <c r="DU59" i="2"/>
  <c r="DT59" i="2"/>
  <c r="DS59" i="2"/>
  <c r="DR59" i="2"/>
  <c r="DQ59" i="2"/>
  <c r="DP59" i="2"/>
  <c r="DO59" i="2"/>
  <c r="DN59" i="2"/>
  <c r="DM59" i="2"/>
  <c r="DL59" i="2"/>
  <c r="DK59" i="2"/>
  <c r="DJ59" i="2"/>
  <c r="DI59" i="2"/>
  <c r="DH59" i="2"/>
  <c r="DG59" i="2"/>
  <c r="DF59" i="2"/>
  <c r="DE59" i="2"/>
  <c r="DD59" i="2"/>
  <c r="DC59" i="2"/>
  <c r="DB59" i="2"/>
  <c r="DA59" i="2"/>
  <c r="CZ59" i="2"/>
  <c r="CY59" i="2"/>
  <c r="CX59" i="2"/>
  <c r="CW59" i="2"/>
  <c r="CV59" i="2"/>
  <c r="CU59" i="2"/>
  <c r="CT59" i="2"/>
  <c r="CS59" i="2"/>
  <c r="CR59" i="2"/>
  <c r="CQ59" i="2"/>
  <c r="CP59" i="2"/>
  <c r="CO59" i="2"/>
  <c r="CN59" i="2"/>
  <c r="CM59" i="2"/>
  <c r="CL59" i="2"/>
  <c r="CK59" i="2"/>
  <c r="CJ59" i="2"/>
  <c r="CI59" i="2"/>
  <c r="CH59" i="2"/>
  <c r="CG59" i="2"/>
  <c r="CF59" i="2"/>
  <c r="CE59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EH58" i="2"/>
  <c r="EG58" i="2"/>
  <c r="EF58" i="2"/>
  <c r="EE58" i="2"/>
  <c r="ED58" i="2"/>
  <c r="EC58" i="2"/>
  <c r="EB58" i="2"/>
  <c r="EA58" i="2"/>
  <c r="DZ58" i="2"/>
  <c r="DY58" i="2"/>
  <c r="DX58" i="2"/>
  <c r="DW58" i="2"/>
  <c r="DV58" i="2"/>
  <c r="DU58" i="2"/>
  <c r="DT58" i="2"/>
  <c r="DS58" i="2"/>
  <c r="DR58" i="2"/>
  <c r="DQ58" i="2"/>
  <c r="DP58" i="2"/>
  <c r="DO58" i="2"/>
  <c r="DN58" i="2"/>
  <c r="DM58" i="2"/>
  <c r="DL58" i="2"/>
  <c r="DK58" i="2"/>
  <c r="DJ58" i="2"/>
  <c r="DI58" i="2"/>
  <c r="DH58" i="2"/>
  <c r="DG58" i="2"/>
  <c r="DF58" i="2"/>
  <c r="DE58" i="2"/>
  <c r="DD58" i="2"/>
  <c r="DC58" i="2"/>
  <c r="DB58" i="2"/>
  <c r="DA58" i="2"/>
  <c r="CZ58" i="2"/>
  <c r="CY58" i="2"/>
  <c r="CX58" i="2"/>
  <c r="CW58" i="2"/>
  <c r="CV58" i="2"/>
  <c r="CU58" i="2"/>
  <c r="CT58" i="2"/>
  <c r="CS58" i="2"/>
  <c r="CR58" i="2"/>
  <c r="CQ58" i="2"/>
  <c r="CP58" i="2"/>
  <c r="CO58" i="2"/>
  <c r="CN58" i="2"/>
  <c r="CM58" i="2"/>
  <c r="CL58" i="2"/>
  <c r="CK58" i="2"/>
  <c r="CJ58" i="2"/>
  <c r="CI58" i="2"/>
  <c r="CH58" i="2"/>
  <c r="CG58" i="2"/>
  <c r="CF58" i="2"/>
  <c r="CE58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EH57" i="2"/>
  <c r="EG57" i="2"/>
  <c r="EF57" i="2"/>
  <c r="EE57" i="2"/>
  <c r="ED57" i="2"/>
  <c r="EC57" i="2"/>
  <c r="EB57" i="2"/>
  <c r="EA57" i="2"/>
  <c r="DZ57" i="2"/>
  <c r="DY57" i="2"/>
  <c r="DX57" i="2"/>
  <c r="DW57" i="2"/>
  <c r="DV57" i="2"/>
  <c r="DU57" i="2"/>
  <c r="DT57" i="2"/>
  <c r="DS57" i="2"/>
  <c r="DR57" i="2"/>
  <c r="DQ57" i="2"/>
  <c r="DP57" i="2"/>
  <c r="DO57" i="2"/>
  <c r="DN57" i="2"/>
  <c r="DM57" i="2"/>
  <c r="DL57" i="2"/>
  <c r="DK57" i="2"/>
  <c r="DJ57" i="2"/>
  <c r="DI57" i="2"/>
  <c r="DH57" i="2"/>
  <c r="DG57" i="2"/>
  <c r="DF57" i="2"/>
  <c r="DE57" i="2"/>
  <c r="DD57" i="2"/>
  <c r="DC57" i="2"/>
  <c r="DB57" i="2"/>
  <c r="DA57" i="2"/>
  <c r="CZ57" i="2"/>
  <c r="CY57" i="2"/>
  <c r="CX57" i="2"/>
  <c r="CW57" i="2"/>
  <c r="CV57" i="2"/>
  <c r="CU57" i="2"/>
  <c r="CT57" i="2"/>
  <c r="CS57" i="2"/>
  <c r="CR57" i="2"/>
  <c r="CQ57" i="2"/>
  <c r="CP57" i="2"/>
  <c r="CO57" i="2"/>
  <c r="CN57" i="2"/>
  <c r="CM57" i="2"/>
  <c r="CL57" i="2"/>
  <c r="CK57" i="2"/>
  <c r="CJ57" i="2"/>
  <c r="CI57" i="2"/>
  <c r="CH57" i="2"/>
  <c r="CG57" i="2"/>
  <c r="CF57" i="2"/>
  <c r="CE57" i="2"/>
  <c r="CD57" i="2"/>
  <c r="CC57" i="2"/>
  <c r="CB57" i="2"/>
  <c r="CA57" i="2"/>
  <c r="BZ57" i="2"/>
  <c r="BY57" i="2"/>
  <c r="BX57" i="2"/>
  <c r="BW57" i="2"/>
  <c r="BV57" i="2"/>
  <c r="BU57" i="2"/>
  <c r="BT57" i="2"/>
  <c r="BS57" i="2"/>
  <c r="BR57" i="2"/>
  <c r="BQ57" i="2"/>
  <c r="BP57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EH56" i="2"/>
  <c r="EG56" i="2"/>
  <c r="EF56" i="2"/>
  <c r="EE56" i="2"/>
  <c r="ED56" i="2"/>
  <c r="EC56" i="2"/>
  <c r="EB56" i="2"/>
  <c r="EA56" i="2"/>
  <c r="DZ56" i="2"/>
  <c r="DY56" i="2"/>
  <c r="DX56" i="2"/>
  <c r="DW56" i="2"/>
  <c r="DV56" i="2"/>
  <c r="DU56" i="2"/>
  <c r="DT56" i="2"/>
  <c r="DS56" i="2"/>
  <c r="DR56" i="2"/>
  <c r="DQ56" i="2"/>
  <c r="DP56" i="2"/>
  <c r="DO56" i="2"/>
  <c r="DN56" i="2"/>
  <c r="DM56" i="2"/>
  <c r="DL56" i="2"/>
  <c r="DK56" i="2"/>
  <c r="DJ56" i="2"/>
  <c r="DI56" i="2"/>
  <c r="DH56" i="2"/>
  <c r="DG56" i="2"/>
  <c r="DF56" i="2"/>
  <c r="DE56" i="2"/>
  <c r="DD56" i="2"/>
  <c r="DC56" i="2"/>
  <c r="DB56" i="2"/>
  <c r="DA56" i="2"/>
  <c r="CZ56" i="2"/>
  <c r="CY56" i="2"/>
  <c r="CX56" i="2"/>
  <c r="CW56" i="2"/>
  <c r="CV56" i="2"/>
  <c r="CU56" i="2"/>
  <c r="CT56" i="2"/>
  <c r="CS56" i="2"/>
  <c r="CR56" i="2"/>
  <c r="CQ56" i="2"/>
  <c r="CP56" i="2"/>
  <c r="CO56" i="2"/>
  <c r="CN56" i="2"/>
  <c r="CM56" i="2"/>
  <c r="CL56" i="2"/>
  <c r="CK56" i="2"/>
  <c r="CJ56" i="2"/>
  <c r="CI56" i="2"/>
  <c r="CH56" i="2"/>
  <c r="CG56" i="2"/>
  <c r="CF56" i="2"/>
  <c r="CE56" i="2"/>
  <c r="CD56" i="2"/>
  <c r="CC56" i="2"/>
  <c r="CB56" i="2"/>
  <c r="CA56" i="2"/>
  <c r="BZ56" i="2"/>
  <c r="BY56" i="2"/>
  <c r="BX56" i="2"/>
  <c r="BW56" i="2"/>
  <c r="BV56" i="2"/>
  <c r="BU56" i="2"/>
  <c r="BT56" i="2"/>
  <c r="BS56" i="2"/>
  <c r="BR56" i="2"/>
  <c r="BQ56" i="2"/>
  <c r="BP56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EH54" i="2"/>
  <c r="EG54" i="2"/>
  <c r="EF54" i="2"/>
  <c r="EE54" i="2"/>
  <c r="ED54" i="2"/>
  <c r="EC54" i="2"/>
  <c r="EB54" i="2"/>
  <c r="EA54" i="2"/>
  <c r="DZ54" i="2"/>
  <c r="DY54" i="2"/>
  <c r="DX54" i="2"/>
  <c r="DW54" i="2"/>
  <c r="DV54" i="2"/>
  <c r="DU54" i="2"/>
  <c r="DT54" i="2"/>
  <c r="DS54" i="2"/>
  <c r="DR54" i="2"/>
  <c r="DQ54" i="2"/>
  <c r="DP54" i="2"/>
  <c r="DO54" i="2"/>
  <c r="DN54" i="2"/>
  <c r="DM54" i="2"/>
  <c r="DL54" i="2"/>
  <c r="DK54" i="2"/>
  <c r="DJ54" i="2"/>
  <c r="DI54" i="2"/>
  <c r="DH54" i="2"/>
  <c r="DG54" i="2"/>
  <c r="DF54" i="2"/>
  <c r="DE54" i="2"/>
  <c r="DD54" i="2"/>
  <c r="DC54" i="2"/>
  <c r="DB54" i="2"/>
  <c r="DA54" i="2"/>
  <c r="CZ54" i="2"/>
  <c r="CY54" i="2"/>
  <c r="CX54" i="2"/>
  <c r="CW54" i="2"/>
  <c r="CV54" i="2"/>
  <c r="CU54" i="2"/>
  <c r="CT54" i="2"/>
  <c r="CS54" i="2"/>
  <c r="CR54" i="2"/>
  <c r="CQ54" i="2"/>
  <c r="CP54" i="2"/>
  <c r="CO54" i="2"/>
  <c r="CN54" i="2"/>
  <c r="CM54" i="2"/>
  <c r="CL54" i="2"/>
  <c r="CK54" i="2"/>
  <c r="CJ54" i="2"/>
  <c r="CI54" i="2"/>
  <c r="CH54" i="2"/>
  <c r="CG54" i="2"/>
  <c r="CF54" i="2"/>
  <c r="CE54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EH53" i="2"/>
  <c r="EG53" i="2"/>
  <c r="EF53" i="2"/>
  <c r="EE53" i="2"/>
  <c r="ED53" i="2"/>
  <c r="EC53" i="2"/>
  <c r="EB53" i="2"/>
  <c r="EA53" i="2"/>
  <c r="DZ53" i="2"/>
  <c r="DY53" i="2"/>
  <c r="DX53" i="2"/>
  <c r="DW53" i="2"/>
  <c r="DV53" i="2"/>
  <c r="DU53" i="2"/>
  <c r="DT53" i="2"/>
  <c r="DS53" i="2"/>
  <c r="DR53" i="2"/>
  <c r="DQ53" i="2"/>
  <c r="DP53" i="2"/>
  <c r="DO53" i="2"/>
  <c r="DN53" i="2"/>
  <c r="DM53" i="2"/>
  <c r="DL53" i="2"/>
  <c r="DK53" i="2"/>
  <c r="DJ53" i="2"/>
  <c r="DI53" i="2"/>
  <c r="DH53" i="2"/>
  <c r="DG53" i="2"/>
  <c r="DF53" i="2"/>
  <c r="DE53" i="2"/>
  <c r="DD53" i="2"/>
  <c r="DC53" i="2"/>
  <c r="DB53" i="2"/>
  <c r="DA53" i="2"/>
  <c r="CZ53" i="2"/>
  <c r="CY53" i="2"/>
  <c r="CX53" i="2"/>
  <c r="CW53" i="2"/>
  <c r="CV53" i="2"/>
  <c r="CU53" i="2"/>
  <c r="CT53" i="2"/>
  <c r="CS53" i="2"/>
  <c r="CR53" i="2"/>
  <c r="CQ53" i="2"/>
  <c r="CP53" i="2"/>
  <c r="CO53" i="2"/>
  <c r="CN53" i="2"/>
  <c r="CM53" i="2"/>
  <c r="CL53" i="2"/>
  <c r="CK53" i="2"/>
  <c r="CJ53" i="2"/>
  <c r="CI53" i="2"/>
  <c r="CH53" i="2"/>
  <c r="CG53" i="2"/>
  <c r="CF53" i="2"/>
  <c r="CE53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EH52" i="2"/>
  <c r="EG52" i="2"/>
  <c r="EF52" i="2"/>
  <c r="EE52" i="2"/>
  <c r="ED52" i="2"/>
  <c r="EC52" i="2"/>
  <c r="EB52" i="2"/>
  <c r="EA52" i="2"/>
  <c r="DZ52" i="2"/>
  <c r="DY52" i="2"/>
  <c r="DX52" i="2"/>
  <c r="DW52" i="2"/>
  <c r="DV52" i="2"/>
  <c r="DU52" i="2"/>
  <c r="DT52" i="2"/>
  <c r="DS52" i="2"/>
  <c r="DR52" i="2"/>
  <c r="DQ52" i="2"/>
  <c r="DP52" i="2"/>
  <c r="DO52" i="2"/>
  <c r="DN52" i="2"/>
  <c r="DM52" i="2"/>
  <c r="DL52" i="2"/>
  <c r="DK52" i="2"/>
  <c r="DJ52" i="2"/>
  <c r="DI52" i="2"/>
  <c r="DH52" i="2"/>
  <c r="DG52" i="2"/>
  <c r="DF52" i="2"/>
  <c r="DE52" i="2"/>
  <c r="DD52" i="2"/>
  <c r="DC52" i="2"/>
  <c r="DB52" i="2"/>
  <c r="DA52" i="2"/>
  <c r="CZ52" i="2"/>
  <c r="CY52" i="2"/>
  <c r="CX52" i="2"/>
  <c r="CW52" i="2"/>
  <c r="CV52" i="2"/>
  <c r="CU52" i="2"/>
  <c r="CT52" i="2"/>
  <c r="CS52" i="2"/>
  <c r="CR52" i="2"/>
  <c r="CQ52" i="2"/>
  <c r="CP52" i="2"/>
  <c r="CO52" i="2"/>
  <c r="CN52" i="2"/>
  <c r="CM52" i="2"/>
  <c r="CL52" i="2"/>
  <c r="CK52" i="2"/>
  <c r="CJ52" i="2"/>
  <c r="CI52" i="2"/>
  <c r="CH52" i="2"/>
  <c r="CG52" i="2"/>
  <c r="CF52" i="2"/>
  <c r="CE52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J52" i="2"/>
  <c r="I52" i="2"/>
  <c r="H52" i="2"/>
  <c r="G52" i="2"/>
  <c r="EH51" i="2"/>
  <c r="EG51" i="2"/>
  <c r="EF51" i="2"/>
  <c r="EE51" i="2"/>
  <c r="ED51" i="2"/>
  <c r="EC51" i="2"/>
  <c r="EB51" i="2"/>
  <c r="EA51" i="2"/>
  <c r="DZ51" i="2"/>
  <c r="DY51" i="2"/>
  <c r="DX51" i="2"/>
  <c r="DW51" i="2"/>
  <c r="DV51" i="2"/>
  <c r="DU51" i="2"/>
  <c r="DT51" i="2"/>
  <c r="DS51" i="2"/>
  <c r="DR51" i="2"/>
  <c r="DQ51" i="2"/>
  <c r="DP51" i="2"/>
  <c r="DO51" i="2"/>
  <c r="DN51" i="2"/>
  <c r="DM51" i="2"/>
  <c r="DL51" i="2"/>
  <c r="DK51" i="2"/>
  <c r="DJ51" i="2"/>
  <c r="DI51" i="2"/>
  <c r="DH51" i="2"/>
  <c r="DG51" i="2"/>
  <c r="DF51" i="2"/>
  <c r="DE51" i="2"/>
  <c r="DD51" i="2"/>
  <c r="DC51" i="2"/>
  <c r="DB51" i="2"/>
  <c r="DA51" i="2"/>
  <c r="CZ51" i="2"/>
  <c r="CY51" i="2"/>
  <c r="CX51" i="2"/>
  <c r="CW51" i="2"/>
  <c r="CV51" i="2"/>
  <c r="CU51" i="2"/>
  <c r="CT51" i="2"/>
  <c r="CS51" i="2"/>
  <c r="CR51" i="2"/>
  <c r="CQ51" i="2"/>
  <c r="CP51" i="2"/>
  <c r="CO51" i="2"/>
  <c r="CN51" i="2"/>
  <c r="CM51" i="2"/>
  <c r="CL51" i="2"/>
  <c r="CK51" i="2"/>
  <c r="CJ51" i="2"/>
  <c r="CI51" i="2"/>
  <c r="CH51" i="2"/>
  <c r="CG51" i="2"/>
  <c r="CF51" i="2"/>
  <c r="CE51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EH50" i="2"/>
  <c r="EG50" i="2"/>
  <c r="EF50" i="2"/>
  <c r="EE50" i="2"/>
  <c r="ED50" i="2"/>
  <c r="EC50" i="2"/>
  <c r="EB50" i="2"/>
  <c r="EA50" i="2"/>
  <c r="DZ50" i="2"/>
  <c r="DY50" i="2"/>
  <c r="DX50" i="2"/>
  <c r="DW50" i="2"/>
  <c r="DV50" i="2"/>
  <c r="DU50" i="2"/>
  <c r="DT50" i="2"/>
  <c r="DS50" i="2"/>
  <c r="DR50" i="2"/>
  <c r="DQ50" i="2"/>
  <c r="DP50" i="2"/>
  <c r="DO50" i="2"/>
  <c r="DN50" i="2"/>
  <c r="DM50" i="2"/>
  <c r="DL50" i="2"/>
  <c r="DK50" i="2"/>
  <c r="DJ50" i="2"/>
  <c r="DI50" i="2"/>
  <c r="DH50" i="2"/>
  <c r="DG50" i="2"/>
  <c r="DF50" i="2"/>
  <c r="DE50" i="2"/>
  <c r="DD50" i="2"/>
  <c r="DC50" i="2"/>
  <c r="DB50" i="2"/>
  <c r="DA50" i="2"/>
  <c r="CZ50" i="2"/>
  <c r="CY50" i="2"/>
  <c r="CX50" i="2"/>
  <c r="CW50" i="2"/>
  <c r="CV50" i="2"/>
  <c r="CU50" i="2"/>
  <c r="CT50" i="2"/>
  <c r="CS50" i="2"/>
  <c r="CR50" i="2"/>
  <c r="CQ50" i="2"/>
  <c r="CP50" i="2"/>
  <c r="CO50" i="2"/>
  <c r="CN50" i="2"/>
  <c r="CM50" i="2"/>
  <c r="CL50" i="2"/>
  <c r="CK50" i="2"/>
  <c r="CJ50" i="2"/>
  <c r="CI50" i="2"/>
  <c r="CH50" i="2"/>
  <c r="CG50" i="2"/>
  <c r="CF50" i="2"/>
  <c r="CE50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EH49" i="2"/>
  <c r="EG49" i="2"/>
  <c r="EF49" i="2"/>
  <c r="EE49" i="2"/>
  <c r="ED49" i="2"/>
  <c r="EC49" i="2"/>
  <c r="EB49" i="2"/>
  <c r="EA49" i="2"/>
  <c r="DZ49" i="2"/>
  <c r="DY49" i="2"/>
  <c r="DX49" i="2"/>
  <c r="DW49" i="2"/>
  <c r="DV49" i="2"/>
  <c r="DU49" i="2"/>
  <c r="DT49" i="2"/>
  <c r="DS49" i="2"/>
  <c r="DR49" i="2"/>
  <c r="DQ49" i="2"/>
  <c r="DP49" i="2"/>
  <c r="DO49" i="2"/>
  <c r="DN49" i="2"/>
  <c r="DM49" i="2"/>
  <c r="DL49" i="2"/>
  <c r="DK49" i="2"/>
  <c r="DJ49" i="2"/>
  <c r="DI49" i="2"/>
  <c r="DH49" i="2"/>
  <c r="DG49" i="2"/>
  <c r="DF49" i="2"/>
  <c r="DE49" i="2"/>
  <c r="DD49" i="2"/>
  <c r="DC49" i="2"/>
  <c r="DB49" i="2"/>
  <c r="DA49" i="2"/>
  <c r="CZ49" i="2"/>
  <c r="CY49" i="2"/>
  <c r="CX49" i="2"/>
  <c r="CW49" i="2"/>
  <c r="CV49" i="2"/>
  <c r="CU49" i="2"/>
  <c r="CT49" i="2"/>
  <c r="CS49" i="2"/>
  <c r="CR49" i="2"/>
  <c r="CQ49" i="2"/>
  <c r="CP49" i="2"/>
  <c r="CO49" i="2"/>
  <c r="CN49" i="2"/>
  <c r="CM49" i="2"/>
  <c r="CL49" i="2"/>
  <c r="CK49" i="2"/>
  <c r="CJ49" i="2"/>
  <c r="CI49" i="2"/>
  <c r="CH49" i="2"/>
  <c r="CG49" i="2"/>
  <c r="CF49" i="2"/>
  <c r="CE49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EH48" i="2"/>
  <c r="EG48" i="2"/>
  <c r="EF48" i="2"/>
  <c r="EE48" i="2"/>
  <c r="ED48" i="2"/>
  <c r="EC48" i="2"/>
  <c r="EB48" i="2"/>
  <c r="EA48" i="2"/>
  <c r="DZ48" i="2"/>
  <c r="DY48" i="2"/>
  <c r="DX48" i="2"/>
  <c r="DW48" i="2"/>
  <c r="DV48" i="2"/>
  <c r="DU48" i="2"/>
  <c r="DT48" i="2"/>
  <c r="DS48" i="2"/>
  <c r="DR48" i="2"/>
  <c r="DQ48" i="2"/>
  <c r="DP48" i="2"/>
  <c r="DO48" i="2"/>
  <c r="DN48" i="2"/>
  <c r="DM48" i="2"/>
  <c r="DL48" i="2"/>
  <c r="DK48" i="2"/>
  <c r="DJ48" i="2"/>
  <c r="DI48" i="2"/>
  <c r="DH48" i="2"/>
  <c r="DG48" i="2"/>
  <c r="DF48" i="2"/>
  <c r="DE48" i="2"/>
  <c r="DD48" i="2"/>
  <c r="DC48" i="2"/>
  <c r="DB48" i="2"/>
  <c r="DA48" i="2"/>
  <c r="CZ48" i="2"/>
  <c r="CY48" i="2"/>
  <c r="CX48" i="2"/>
  <c r="CW48" i="2"/>
  <c r="CV48" i="2"/>
  <c r="CU48" i="2"/>
  <c r="CT48" i="2"/>
  <c r="CS48" i="2"/>
  <c r="CR48" i="2"/>
  <c r="CQ48" i="2"/>
  <c r="CP48" i="2"/>
  <c r="CO48" i="2"/>
  <c r="CN48" i="2"/>
  <c r="CM48" i="2"/>
  <c r="CL48" i="2"/>
  <c r="CK48" i="2"/>
  <c r="CJ48" i="2"/>
  <c r="CI48" i="2"/>
  <c r="CH48" i="2"/>
  <c r="CG48" i="2"/>
  <c r="CF48" i="2"/>
  <c r="CE48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EH47" i="2"/>
  <c r="EG47" i="2"/>
  <c r="EF47" i="2"/>
  <c r="EE47" i="2"/>
  <c r="ED47" i="2"/>
  <c r="EC47" i="2"/>
  <c r="EB47" i="2"/>
  <c r="EA47" i="2"/>
  <c r="DZ47" i="2"/>
  <c r="DY47" i="2"/>
  <c r="DX47" i="2"/>
  <c r="DW47" i="2"/>
  <c r="DV47" i="2"/>
  <c r="DU47" i="2"/>
  <c r="DT47" i="2"/>
  <c r="DS47" i="2"/>
  <c r="DR47" i="2"/>
  <c r="DQ47" i="2"/>
  <c r="DP47" i="2"/>
  <c r="DO47" i="2"/>
  <c r="DN47" i="2"/>
  <c r="DM47" i="2"/>
  <c r="DL47" i="2"/>
  <c r="DK47" i="2"/>
  <c r="DJ47" i="2"/>
  <c r="DI47" i="2"/>
  <c r="DH47" i="2"/>
  <c r="DG47" i="2"/>
  <c r="DF47" i="2"/>
  <c r="DE47" i="2"/>
  <c r="DD47" i="2"/>
  <c r="DC47" i="2"/>
  <c r="DB47" i="2"/>
  <c r="DA47" i="2"/>
  <c r="CZ47" i="2"/>
  <c r="CY47" i="2"/>
  <c r="CX47" i="2"/>
  <c r="CW47" i="2"/>
  <c r="CV47" i="2"/>
  <c r="CU47" i="2"/>
  <c r="CT47" i="2"/>
  <c r="CS47" i="2"/>
  <c r="CR47" i="2"/>
  <c r="CQ47" i="2"/>
  <c r="CP47" i="2"/>
  <c r="CO47" i="2"/>
  <c r="CN47" i="2"/>
  <c r="CM47" i="2"/>
  <c r="CL47" i="2"/>
  <c r="CK47" i="2"/>
  <c r="CJ47" i="2"/>
  <c r="CI47" i="2"/>
  <c r="CH47" i="2"/>
  <c r="CG47" i="2"/>
  <c r="CF47" i="2"/>
  <c r="CE47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EH46" i="2"/>
  <c r="EG46" i="2"/>
  <c r="EF46" i="2"/>
  <c r="EE46" i="2"/>
  <c r="ED46" i="2"/>
  <c r="EC46" i="2"/>
  <c r="EB46" i="2"/>
  <c r="EA46" i="2"/>
  <c r="DZ46" i="2"/>
  <c r="DY46" i="2"/>
  <c r="DX46" i="2"/>
  <c r="DW46" i="2"/>
  <c r="DV46" i="2"/>
  <c r="DU46" i="2"/>
  <c r="DT46" i="2"/>
  <c r="DS46" i="2"/>
  <c r="DR46" i="2"/>
  <c r="DQ46" i="2"/>
  <c r="DP46" i="2"/>
  <c r="DO46" i="2"/>
  <c r="DN46" i="2"/>
  <c r="DM46" i="2"/>
  <c r="DL46" i="2"/>
  <c r="DK46" i="2"/>
  <c r="DJ46" i="2"/>
  <c r="DI46" i="2"/>
  <c r="DH46" i="2"/>
  <c r="DG46" i="2"/>
  <c r="DF46" i="2"/>
  <c r="DE46" i="2"/>
  <c r="DD46" i="2"/>
  <c r="DC46" i="2"/>
  <c r="DB46" i="2"/>
  <c r="DA46" i="2"/>
  <c r="CZ46" i="2"/>
  <c r="CY46" i="2"/>
  <c r="CX46" i="2"/>
  <c r="CW46" i="2"/>
  <c r="CV46" i="2"/>
  <c r="CU46" i="2"/>
  <c r="CT46" i="2"/>
  <c r="CS46" i="2"/>
  <c r="CR46" i="2"/>
  <c r="CQ46" i="2"/>
  <c r="CP46" i="2"/>
  <c r="CO46" i="2"/>
  <c r="CN46" i="2"/>
  <c r="CM46" i="2"/>
  <c r="CL46" i="2"/>
  <c r="CK46" i="2"/>
  <c r="CJ46" i="2"/>
  <c r="CI46" i="2"/>
  <c r="CH46" i="2"/>
  <c r="CG46" i="2"/>
  <c r="CF46" i="2"/>
  <c r="CE46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EH45" i="2"/>
  <c r="EG45" i="2"/>
  <c r="EF45" i="2"/>
  <c r="EE45" i="2"/>
  <c r="ED45" i="2"/>
  <c r="EC45" i="2"/>
  <c r="EB45" i="2"/>
  <c r="EA45" i="2"/>
  <c r="DZ45" i="2"/>
  <c r="DY45" i="2"/>
  <c r="DX45" i="2"/>
  <c r="DW45" i="2"/>
  <c r="DV45" i="2"/>
  <c r="DU45" i="2"/>
  <c r="DT45" i="2"/>
  <c r="DS45" i="2"/>
  <c r="DR45" i="2"/>
  <c r="DQ45" i="2"/>
  <c r="DP45" i="2"/>
  <c r="DO45" i="2"/>
  <c r="DN45" i="2"/>
  <c r="DM45" i="2"/>
  <c r="DL45" i="2"/>
  <c r="DK45" i="2"/>
  <c r="DJ45" i="2"/>
  <c r="DI45" i="2"/>
  <c r="DH45" i="2"/>
  <c r="DG45" i="2"/>
  <c r="DF45" i="2"/>
  <c r="DE45" i="2"/>
  <c r="DD45" i="2"/>
  <c r="DC45" i="2"/>
  <c r="DB45" i="2"/>
  <c r="DA45" i="2"/>
  <c r="CZ45" i="2"/>
  <c r="CY45" i="2"/>
  <c r="CX45" i="2"/>
  <c r="CW45" i="2"/>
  <c r="CV45" i="2"/>
  <c r="CU45" i="2"/>
  <c r="CT45" i="2"/>
  <c r="CS45" i="2"/>
  <c r="CR45" i="2"/>
  <c r="CQ45" i="2"/>
  <c r="CP45" i="2"/>
  <c r="CO45" i="2"/>
  <c r="CN45" i="2"/>
  <c r="CM45" i="2"/>
  <c r="CL45" i="2"/>
  <c r="CK45" i="2"/>
  <c r="CJ45" i="2"/>
  <c r="CI45" i="2"/>
  <c r="CH45" i="2"/>
  <c r="CG45" i="2"/>
  <c r="CF45" i="2"/>
  <c r="CE45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EH44" i="2"/>
  <c r="EG44" i="2"/>
  <c r="EF44" i="2"/>
  <c r="EE44" i="2"/>
  <c r="ED44" i="2"/>
  <c r="EC44" i="2"/>
  <c r="EB44" i="2"/>
  <c r="EA44" i="2"/>
  <c r="DZ44" i="2"/>
  <c r="DY44" i="2"/>
  <c r="DX44" i="2"/>
  <c r="DW44" i="2"/>
  <c r="DV44" i="2"/>
  <c r="DU44" i="2"/>
  <c r="DT44" i="2"/>
  <c r="DS44" i="2"/>
  <c r="DR44" i="2"/>
  <c r="DQ44" i="2"/>
  <c r="DP44" i="2"/>
  <c r="DO44" i="2"/>
  <c r="DN44" i="2"/>
  <c r="DM44" i="2"/>
  <c r="DL44" i="2"/>
  <c r="DK44" i="2"/>
  <c r="DJ44" i="2"/>
  <c r="DI44" i="2"/>
  <c r="DH44" i="2"/>
  <c r="DG44" i="2"/>
  <c r="DF44" i="2"/>
  <c r="DE44" i="2"/>
  <c r="DD44" i="2"/>
  <c r="DC44" i="2"/>
  <c r="DB44" i="2"/>
  <c r="DA44" i="2"/>
  <c r="CZ44" i="2"/>
  <c r="CY44" i="2"/>
  <c r="CX44" i="2"/>
  <c r="CW44" i="2"/>
  <c r="CV44" i="2"/>
  <c r="CU44" i="2"/>
  <c r="CT44" i="2"/>
  <c r="CS44" i="2"/>
  <c r="CR44" i="2"/>
  <c r="CQ44" i="2"/>
  <c r="CP44" i="2"/>
  <c r="CO44" i="2"/>
  <c r="CN44" i="2"/>
  <c r="CM44" i="2"/>
  <c r="CL44" i="2"/>
  <c r="CK44" i="2"/>
  <c r="CJ44" i="2"/>
  <c r="CI44" i="2"/>
  <c r="CH44" i="2"/>
  <c r="CG44" i="2"/>
  <c r="CF44" i="2"/>
  <c r="CE44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EH43" i="2"/>
  <c r="EG43" i="2"/>
  <c r="EF43" i="2"/>
  <c r="EE43" i="2"/>
  <c r="ED43" i="2"/>
  <c r="EC43" i="2"/>
  <c r="EB43" i="2"/>
  <c r="EA43" i="2"/>
  <c r="DZ43" i="2"/>
  <c r="DY43" i="2"/>
  <c r="DX43" i="2"/>
  <c r="DW43" i="2"/>
  <c r="DV43" i="2"/>
  <c r="DU43" i="2"/>
  <c r="DT43" i="2"/>
  <c r="DS43" i="2"/>
  <c r="DR43" i="2"/>
  <c r="DQ43" i="2"/>
  <c r="DP43" i="2"/>
  <c r="DO43" i="2"/>
  <c r="DN43" i="2"/>
  <c r="DM43" i="2"/>
  <c r="DL43" i="2"/>
  <c r="DK43" i="2"/>
  <c r="DJ43" i="2"/>
  <c r="DI43" i="2"/>
  <c r="DH43" i="2"/>
  <c r="DG43" i="2"/>
  <c r="DF43" i="2"/>
  <c r="DE43" i="2"/>
  <c r="DD43" i="2"/>
  <c r="DC43" i="2"/>
  <c r="DB43" i="2"/>
  <c r="DA43" i="2"/>
  <c r="CZ43" i="2"/>
  <c r="CY43" i="2"/>
  <c r="CX43" i="2"/>
  <c r="CW43" i="2"/>
  <c r="CV43" i="2"/>
  <c r="CU43" i="2"/>
  <c r="CT43" i="2"/>
  <c r="CS43" i="2"/>
  <c r="CR43" i="2"/>
  <c r="CQ43" i="2"/>
  <c r="CP43" i="2"/>
  <c r="CO43" i="2"/>
  <c r="CN43" i="2"/>
  <c r="CM43" i="2"/>
  <c r="CL43" i="2"/>
  <c r="CK43" i="2"/>
  <c r="CJ43" i="2"/>
  <c r="CI43" i="2"/>
  <c r="CH43" i="2"/>
  <c r="CG43" i="2"/>
  <c r="CF43" i="2"/>
  <c r="CE43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EH41" i="2"/>
  <c r="EG41" i="2"/>
  <c r="EF41" i="2"/>
  <c r="EE41" i="2"/>
  <c r="ED41" i="2"/>
  <c r="EC41" i="2"/>
  <c r="EB41" i="2"/>
  <c r="EA41" i="2"/>
  <c r="DZ41" i="2"/>
  <c r="DY41" i="2"/>
  <c r="DX41" i="2"/>
  <c r="DW41" i="2"/>
  <c r="DV41" i="2"/>
  <c r="DU41" i="2"/>
  <c r="DT41" i="2"/>
  <c r="DS41" i="2"/>
  <c r="DR41" i="2"/>
  <c r="DQ41" i="2"/>
  <c r="DP41" i="2"/>
  <c r="DO41" i="2"/>
  <c r="DN41" i="2"/>
  <c r="DM41" i="2"/>
  <c r="DL41" i="2"/>
  <c r="DK41" i="2"/>
  <c r="DJ41" i="2"/>
  <c r="DI41" i="2"/>
  <c r="DH41" i="2"/>
  <c r="DG41" i="2"/>
  <c r="DF41" i="2"/>
  <c r="DE41" i="2"/>
  <c r="DD41" i="2"/>
  <c r="DC41" i="2"/>
  <c r="DB41" i="2"/>
  <c r="DA41" i="2"/>
  <c r="CZ41" i="2"/>
  <c r="CY41" i="2"/>
  <c r="CX41" i="2"/>
  <c r="CW41" i="2"/>
  <c r="CV41" i="2"/>
  <c r="CU41" i="2"/>
  <c r="CT41" i="2"/>
  <c r="CS41" i="2"/>
  <c r="CR41" i="2"/>
  <c r="CQ41" i="2"/>
  <c r="CP41" i="2"/>
  <c r="CO41" i="2"/>
  <c r="CN41" i="2"/>
  <c r="CM41" i="2"/>
  <c r="CL41" i="2"/>
  <c r="CK41" i="2"/>
  <c r="CJ41" i="2"/>
  <c r="CI41" i="2"/>
  <c r="CH41" i="2"/>
  <c r="CG41" i="2"/>
  <c r="CF41" i="2"/>
  <c r="CE41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EH40" i="2"/>
  <c r="EG40" i="2"/>
  <c r="EF40" i="2"/>
  <c r="EE40" i="2"/>
  <c r="ED40" i="2"/>
  <c r="EC40" i="2"/>
  <c r="EB40" i="2"/>
  <c r="EA40" i="2"/>
  <c r="DZ40" i="2"/>
  <c r="DY40" i="2"/>
  <c r="DX40" i="2"/>
  <c r="DW40" i="2"/>
  <c r="DV40" i="2"/>
  <c r="DU40" i="2"/>
  <c r="DT40" i="2"/>
  <c r="DS40" i="2"/>
  <c r="DR40" i="2"/>
  <c r="DQ40" i="2"/>
  <c r="DP40" i="2"/>
  <c r="DO40" i="2"/>
  <c r="DN40" i="2"/>
  <c r="DM40" i="2"/>
  <c r="DL40" i="2"/>
  <c r="DK40" i="2"/>
  <c r="DJ40" i="2"/>
  <c r="DI40" i="2"/>
  <c r="DH40" i="2"/>
  <c r="DG40" i="2"/>
  <c r="DF40" i="2"/>
  <c r="DE40" i="2"/>
  <c r="DD40" i="2"/>
  <c r="DC40" i="2"/>
  <c r="DB40" i="2"/>
  <c r="DA40" i="2"/>
  <c r="CZ40" i="2"/>
  <c r="CY40" i="2"/>
  <c r="CX40" i="2"/>
  <c r="CW40" i="2"/>
  <c r="CV40" i="2"/>
  <c r="CU40" i="2"/>
  <c r="CT40" i="2"/>
  <c r="CS40" i="2"/>
  <c r="CR40" i="2"/>
  <c r="CQ40" i="2"/>
  <c r="CP40" i="2"/>
  <c r="CO40" i="2"/>
  <c r="CN40" i="2"/>
  <c r="CM40" i="2"/>
  <c r="CL40" i="2"/>
  <c r="CK40" i="2"/>
  <c r="CJ40" i="2"/>
  <c r="CI40" i="2"/>
  <c r="CH40" i="2"/>
  <c r="CG40" i="2"/>
  <c r="CF40" i="2"/>
  <c r="CE40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EH39" i="2"/>
  <c r="EG39" i="2"/>
  <c r="EF39" i="2"/>
  <c r="EE39" i="2"/>
  <c r="ED39" i="2"/>
  <c r="EC39" i="2"/>
  <c r="EB39" i="2"/>
  <c r="EA39" i="2"/>
  <c r="DZ39" i="2"/>
  <c r="DY39" i="2"/>
  <c r="DX39" i="2"/>
  <c r="DW39" i="2"/>
  <c r="DV39" i="2"/>
  <c r="DU39" i="2"/>
  <c r="DT39" i="2"/>
  <c r="DS39" i="2"/>
  <c r="DR39" i="2"/>
  <c r="DQ39" i="2"/>
  <c r="DP39" i="2"/>
  <c r="DO39" i="2"/>
  <c r="DN39" i="2"/>
  <c r="DM39" i="2"/>
  <c r="DL39" i="2"/>
  <c r="DK39" i="2"/>
  <c r="DJ39" i="2"/>
  <c r="DI39" i="2"/>
  <c r="DH39" i="2"/>
  <c r="DG39" i="2"/>
  <c r="DF39" i="2"/>
  <c r="DE39" i="2"/>
  <c r="DD39" i="2"/>
  <c r="DC39" i="2"/>
  <c r="DB39" i="2"/>
  <c r="DA39" i="2"/>
  <c r="CZ39" i="2"/>
  <c r="CY39" i="2"/>
  <c r="CX39" i="2"/>
  <c r="CW39" i="2"/>
  <c r="CV39" i="2"/>
  <c r="CU39" i="2"/>
  <c r="CT39" i="2"/>
  <c r="CS39" i="2"/>
  <c r="CR39" i="2"/>
  <c r="CQ39" i="2"/>
  <c r="CP39" i="2"/>
  <c r="CO39" i="2"/>
  <c r="CN39" i="2"/>
  <c r="CM39" i="2"/>
  <c r="CL39" i="2"/>
  <c r="CK39" i="2"/>
  <c r="CJ39" i="2"/>
  <c r="CI39" i="2"/>
  <c r="CH39" i="2"/>
  <c r="CG39" i="2"/>
  <c r="CF39" i="2"/>
  <c r="CE39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EH38" i="2"/>
  <c r="EG38" i="2"/>
  <c r="EF38" i="2"/>
  <c r="EE38" i="2"/>
  <c r="ED38" i="2"/>
  <c r="EC38" i="2"/>
  <c r="EB38" i="2"/>
  <c r="EA38" i="2"/>
  <c r="DZ38" i="2"/>
  <c r="DY38" i="2"/>
  <c r="DX38" i="2"/>
  <c r="DW38" i="2"/>
  <c r="DV38" i="2"/>
  <c r="DU38" i="2"/>
  <c r="DT38" i="2"/>
  <c r="DS38" i="2"/>
  <c r="DR38" i="2"/>
  <c r="DQ38" i="2"/>
  <c r="DP38" i="2"/>
  <c r="DO38" i="2"/>
  <c r="DN38" i="2"/>
  <c r="DM38" i="2"/>
  <c r="DL38" i="2"/>
  <c r="DK38" i="2"/>
  <c r="DJ38" i="2"/>
  <c r="DI38" i="2"/>
  <c r="DH38" i="2"/>
  <c r="DG38" i="2"/>
  <c r="DF38" i="2"/>
  <c r="DE38" i="2"/>
  <c r="DD38" i="2"/>
  <c r="DC38" i="2"/>
  <c r="DB38" i="2"/>
  <c r="DA38" i="2"/>
  <c r="CZ38" i="2"/>
  <c r="CY38" i="2"/>
  <c r="CX38" i="2"/>
  <c r="CW38" i="2"/>
  <c r="CV38" i="2"/>
  <c r="CU38" i="2"/>
  <c r="CT38" i="2"/>
  <c r="CS38" i="2"/>
  <c r="CR38" i="2"/>
  <c r="CQ38" i="2"/>
  <c r="CP38" i="2"/>
  <c r="CO38" i="2"/>
  <c r="CN38" i="2"/>
  <c r="CM38" i="2"/>
  <c r="CL38" i="2"/>
  <c r="CK38" i="2"/>
  <c r="CJ38" i="2"/>
  <c r="CI38" i="2"/>
  <c r="CH38" i="2"/>
  <c r="CG38" i="2"/>
  <c r="CF38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EH37" i="2"/>
  <c r="EG37" i="2"/>
  <c r="EF37" i="2"/>
  <c r="EE37" i="2"/>
  <c r="ED37" i="2"/>
  <c r="EC37" i="2"/>
  <c r="EB37" i="2"/>
  <c r="EA37" i="2"/>
  <c r="DZ37" i="2"/>
  <c r="DY37" i="2"/>
  <c r="DX37" i="2"/>
  <c r="DW37" i="2"/>
  <c r="DV37" i="2"/>
  <c r="DU37" i="2"/>
  <c r="DT37" i="2"/>
  <c r="DS37" i="2"/>
  <c r="DR37" i="2"/>
  <c r="DQ37" i="2"/>
  <c r="DP37" i="2"/>
  <c r="DO37" i="2"/>
  <c r="DN37" i="2"/>
  <c r="DM37" i="2"/>
  <c r="DL37" i="2"/>
  <c r="DK37" i="2"/>
  <c r="DJ37" i="2"/>
  <c r="DI37" i="2"/>
  <c r="DH37" i="2"/>
  <c r="DG37" i="2"/>
  <c r="DF37" i="2"/>
  <c r="DE37" i="2"/>
  <c r="DD37" i="2"/>
  <c r="DC37" i="2"/>
  <c r="DB37" i="2"/>
  <c r="DA37" i="2"/>
  <c r="CZ37" i="2"/>
  <c r="CY37" i="2"/>
  <c r="CX37" i="2"/>
  <c r="CW37" i="2"/>
  <c r="CV37" i="2"/>
  <c r="CU37" i="2"/>
  <c r="CT37" i="2"/>
  <c r="CS37" i="2"/>
  <c r="CR37" i="2"/>
  <c r="CQ37" i="2"/>
  <c r="CP37" i="2"/>
  <c r="CO37" i="2"/>
  <c r="CN37" i="2"/>
  <c r="CM37" i="2"/>
  <c r="CL37" i="2"/>
  <c r="CK37" i="2"/>
  <c r="CJ37" i="2"/>
  <c r="CI37" i="2"/>
  <c r="CH37" i="2"/>
  <c r="CG37" i="2"/>
  <c r="CF37" i="2"/>
  <c r="CE37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EH36" i="2"/>
  <c r="EG36" i="2"/>
  <c r="EF36" i="2"/>
  <c r="EE36" i="2"/>
  <c r="ED36" i="2"/>
  <c r="EC36" i="2"/>
  <c r="EB36" i="2"/>
  <c r="EA36" i="2"/>
  <c r="DZ36" i="2"/>
  <c r="DY36" i="2"/>
  <c r="DX36" i="2"/>
  <c r="DW36" i="2"/>
  <c r="DV36" i="2"/>
  <c r="DU36" i="2"/>
  <c r="DT36" i="2"/>
  <c r="DS36" i="2"/>
  <c r="DR36" i="2"/>
  <c r="DQ36" i="2"/>
  <c r="DP36" i="2"/>
  <c r="DO36" i="2"/>
  <c r="DN36" i="2"/>
  <c r="DM36" i="2"/>
  <c r="DL36" i="2"/>
  <c r="DK36" i="2"/>
  <c r="DJ36" i="2"/>
  <c r="DI36" i="2"/>
  <c r="DH36" i="2"/>
  <c r="DG36" i="2"/>
  <c r="DF36" i="2"/>
  <c r="DE36" i="2"/>
  <c r="DD36" i="2"/>
  <c r="DC36" i="2"/>
  <c r="DB36" i="2"/>
  <c r="DA36" i="2"/>
  <c r="CZ36" i="2"/>
  <c r="CY36" i="2"/>
  <c r="CX36" i="2"/>
  <c r="CW36" i="2"/>
  <c r="CV36" i="2"/>
  <c r="CU36" i="2"/>
  <c r="CT36" i="2"/>
  <c r="CS36" i="2"/>
  <c r="CR36" i="2"/>
  <c r="CQ36" i="2"/>
  <c r="CP36" i="2"/>
  <c r="CO36" i="2"/>
  <c r="CN36" i="2"/>
  <c r="CM36" i="2"/>
  <c r="CL36" i="2"/>
  <c r="CK36" i="2"/>
  <c r="CJ36" i="2"/>
  <c r="CI36" i="2"/>
  <c r="CH36" i="2"/>
  <c r="CG36" i="2"/>
  <c r="CF36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EH34" i="2"/>
  <c r="EG34" i="2"/>
  <c r="EF34" i="2"/>
  <c r="EE34" i="2"/>
  <c r="ED34" i="2"/>
  <c r="EC34" i="2"/>
  <c r="EB34" i="2"/>
  <c r="EA34" i="2"/>
  <c r="DZ34" i="2"/>
  <c r="DY34" i="2"/>
  <c r="DX34" i="2"/>
  <c r="DW34" i="2"/>
  <c r="DV34" i="2"/>
  <c r="DU34" i="2"/>
  <c r="DT34" i="2"/>
  <c r="DS34" i="2"/>
  <c r="DR34" i="2"/>
  <c r="DQ34" i="2"/>
  <c r="DP34" i="2"/>
  <c r="DO34" i="2"/>
  <c r="DN34" i="2"/>
  <c r="DM34" i="2"/>
  <c r="DL34" i="2"/>
  <c r="DK34" i="2"/>
  <c r="DJ34" i="2"/>
  <c r="DI34" i="2"/>
  <c r="DH34" i="2"/>
  <c r="DG34" i="2"/>
  <c r="DF34" i="2"/>
  <c r="DE34" i="2"/>
  <c r="DD34" i="2"/>
  <c r="DC34" i="2"/>
  <c r="DB34" i="2"/>
  <c r="DA34" i="2"/>
  <c r="CZ34" i="2"/>
  <c r="CY34" i="2"/>
  <c r="CX34" i="2"/>
  <c r="CW34" i="2"/>
  <c r="CV34" i="2"/>
  <c r="CU34" i="2"/>
  <c r="CT34" i="2"/>
  <c r="CS34" i="2"/>
  <c r="CR34" i="2"/>
  <c r="CQ34" i="2"/>
  <c r="CP34" i="2"/>
  <c r="CO34" i="2"/>
  <c r="CN34" i="2"/>
  <c r="CM34" i="2"/>
  <c r="CL34" i="2"/>
  <c r="CK34" i="2"/>
  <c r="CJ34" i="2"/>
  <c r="CI34" i="2"/>
  <c r="CH34" i="2"/>
  <c r="CG34" i="2"/>
  <c r="CF34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EH33" i="2"/>
  <c r="EG33" i="2"/>
  <c r="EF33" i="2"/>
  <c r="EE33" i="2"/>
  <c r="ED33" i="2"/>
  <c r="EC33" i="2"/>
  <c r="EB33" i="2"/>
  <c r="EA33" i="2"/>
  <c r="DZ33" i="2"/>
  <c r="DY33" i="2"/>
  <c r="DX33" i="2"/>
  <c r="DW33" i="2"/>
  <c r="DV33" i="2"/>
  <c r="DU33" i="2"/>
  <c r="DT33" i="2"/>
  <c r="DS33" i="2"/>
  <c r="DR33" i="2"/>
  <c r="DQ33" i="2"/>
  <c r="DP33" i="2"/>
  <c r="DO33" i="2"/>
  <c r="DN33" i="2"/>
  <c r="DM33" i="2"/>
  <c r="DL33" i="2"/>
  <c r="DK33" i="2"/>
  <c r="DJ33" i="2"/>
  <c r="DI33" i="2"/>
  <c r="DH33" i="2"/>
  <c r="DG33" i="2"/>
  <c r="DF33" i="2"/>
  <c r="DE33" i="2"/>
  <c r="DD33" i="2"/>
  <c r="DC33" i="2"/>
  <c r="DB33" i="2"/>
  <c r="DA33" i="2"/>
  <c r="CZ33" i="2"/>
  <c r="CY33" i="2"/>
  <c r="CX33" i="2"/>
  <c r="CW33" i="2"/>
  <c r="CV33" i="2"/>
  <c r="CU33" i="2"/>
  <c r="CT33" i="2"/>
  <c r="CS33" i="2"/>
  <c r="CR33" i="2"/>
  <c r="CQ33" i="2"/>
  <c r="CP33" i="2"/>
  <c r="CO33" i="2"/>
  <c r="CN33" i="2"/>
  <c r="CM33" i="2"/>
  <c r="CL33" i="2"/>
  <c r="CK33" i="2"/>
  <c r="CJ33" i="2"/>
  <c r="CI33" i="2"/>
  <c r="CH33" i="2"/>
  <c r="CG33" i="2"/>
  <c r="CF33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EH32" i="2"/>
  <c r="EG32" i="2"/>
  <c r="EF32" i="2"/>
  <c r="EE32" i="2"/>
  <c r="ED32" i="2"/>
  <c r="EC32" i="2"/>
  <c r="EB32" i="2"/>
  <c r="EA32" i="2"/>
  <c r="DZ32" i="2"/>
  <c r="DY32" i="2"/>
  <c r="DX32" i="2"/>
  <c r="DW32" i="2"/>
  <c r="DV32" i="2"/>
  <c r="DU32" i="2"/>
  <c r="DT32" i="2"/>
  <c r="DS32" i="2"/>
  <c r="DR32" i="2"/>
  <c r="DQ32" i="2"/>
  <c r="DP32" i="2"/>
  <c r="DO32" i="2"/>
  <c r="DN32" i="2"/>
  <c r="DM32" i="2"/>
  <c r="DL32" i="2"/>
  <c r="DK32" i="2"/>
  <c r="DJ32" i="2"/>
  <c r="DI32" i="2"/>
  <c r="DH32" i="2"/>
  <c r="DG32" i="2"/>
  <c r="DF32" i="2"/>
  <c r="DE32" i="2"/>
  <c r="DD32" i="2"/>
  <c r="DC32" i="2"/>
  <c r="DB32" i="2"/>
  <c r="DA32" i="2"/>
  <c r="CZ32" i="2"/>
  <c r="CY32" i="2"/>
  <c r="CX32" i="2"/>
  <c r="CW32" i="2"/>
  <c r="CV32" i="2"/>
  <c r="CU32" i="2"/>
  <c r="CT32" i="2"/>
  <c r="CS32" i="2"/>
  <c r="CR32" i="2"/>
  <c r="CQ32" i="2"/>
  <c r="CP32" i="2"/>
  <c r="CO32" i="2"/>
  <c r="CN32" i="2"/>
  <c r="CM32" i="2"/>
  <c r="CL32" i="2"/>
  <c r="CK32" i="2"/>
  <c r="CJ32" i="2"/>
  <c r="CI32" i="2"/>
  <c r="CH32" i="2"/>
  <c r="CG32" i="2"/>
  <c r="CF32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EH31" i="2"/>
  <c r="EG31" i="2"/>
  <c r="EF31" i="2"/>
  <c r="EE31" i="2"/>
  <c r="ED31" i="2"/>
  <c r="EC31" i="2"/>
  <c r="EB31" i="2"/>
  <c r="EA31" i="2"/>
  <c r="DZ31" i="2"/>
  <c r="DY31" i="2"/>
  <c r="DX31" i="2"/>
  <c r="DW31" i="2"/>
  <c r="DV31" i="2"/>
  <c r="DU31" i="2"/>
  <c r="DT31" i="2"/>
  <c r="DS31" i="2"/>
  <c r="DR31" i="2"/>
  <c r="DQ31" i="2"/>
  <c r="DP31" i="2"/>
  <c r="DO31" i="2"/>
  <c r="DN31" i="2"/>
  <c r="DM31" i="2"/>
  <c r="DL31" i="2"/>
  <c r="DK31" i="2"/>
  <c r="DJ31" i="2"/>
  <c r="DI31" i="2"/>
  <c r="DH31" i="2"/>
  <c r="DG31" i="2"/>
  <c r="DF31" i="2"/>
  <c r="DE31" i="2"/>
  <c r="DD31" i="2"/>
  <c r="DC31" i="2"/>
  <c r="DB31" i="2"/>
  <c r="DA31" i="2"/>
  <c r="CZ31" i="2"/>
  <c r="CY31" i="2"/>
  <c r="CX31" i="2"/>
  <c r="CW31" i="2"/>
  <c r="CV31" i="2"/>
  <c r="CU31" i="2"/>
  <c r="CT31" i="2"/>
  <c r="CS31" i="2"/>
  <c r="CR31" i="2"/>
  <c r="CQ31" i="2"/>
  <c r="CP31" i="2"/>
  <c r="CO31" i="2"/>
  <c r="CN31" i="2"/>
  <c r="CM31" i="2"/>
  <c r="CL31" i="2"/>
  <c r="CK31" i="2"/>
  <c r="CJ31" i="2"/>
  <c r="CI31" i="2"/>
  <c r="CH31" i="2"/>
  <c r="CG31" i="2"/>
  <c r="CF31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EH30" i="2"/>
  <c r="EG30" i="2"/>
  <c r="EF30" i="2"/>
  <c r="EE30" i="2"/>
  <c r="ED30" i="2"/>
  <c r="EC30" i="2"/>
  <c r="EB30" i="2"/>
  <c r="EA30" i="2"/>
  <c r="DZ30" i="2"/>
  <c r="DY30" i="2"/>
  <c r="DX30" i="2"/>
  <c r="DW30" i="2"/>
  <c r="DV30" i="2"/>
  <c r="DU30" i="2"/>
  <c r="DT30" i="2"/>
  <c r="DS30" i="2"/>
  <c r="DR30" i="2"/>
  <c r="DQ30" i="2"/>
  <c r="DP30" i="2"/>
  <c r="DO30" i="2"/>
  <c r="DN30" i="2"/>
  <c r="DM30" i="2"/>
  <c r="DL30" i="2"/>
  <c r="DK30" i="2"/>
  <c r="DJ30" i="2"/>
  <c r="DI30" i="2"/>
  <c r="DH30" i="2"/>
  <c r="DG30" i="2"/>
  <c r="DF30" i="2"/>
  <c r="DE30" i="2"/>
  <c r="DD30" i="2"/>
  <c r="DC30" i="2"/>
  <c r="DB30" i="2"/>
  <c r="DA30" i="2"/>
  <c r="CZ30" i="2"/>
  <c r="CY30" i="2"/>
  <c r="CX30" i="2"/>
  <c r="CW30" i="2"/>
  <c r="CV30" i="2"/>
  <c r="CU30" i="2"/>
  <c r="CT30" i="2"/>
  <c r="CS30" i="2"/>
  <c r="CR30" i="2"/>
  <c r="CQ30" i="2"/>
  <c r="CP30" i="2"/>
  <c r="CO30" i="2"/>
  <c r="CN30" i="2"/>
  <c r="CM30" i="2"/>
  <c r="CL30" i="2"/>
  <c r="CK30" i="2"/>
  <c r="CJ30" i="2"/>
  <c r="CI30" i="2"/>
  <c r="CH30" i="2"/>
  <c r="CG30" i="2"/>
  <c r="CF30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EH29" i="2"/>
  <c r="EG29" i="2"/>
  <c r="EF29" i="2"/>
  <c r="EE29" i="2"/>
  <c r="ED29" i="2"/>
  <c r="EC29" i="2"/>
  <c r="EB29" i="2"/>
  <c r="EA29" i="2"/>
  <c r="DZ29" i="2"/>
  <c r="DY29" i="2"/>
  <c r="DX29" i="2"/>
  <c r="DW29" i="2"/>
  <c r="DV29" i="2"/>
  <c r="DU29" i="2"/>
  <c r="DT29" i="2"/>
  <c r="DS29" i="2"/>
  <c r="DR29" i="2"/>
  <c r="DQ29" i="2"/>
  <c r="DP29" i="2"/>
  <c r="DO29" i="2"/>
  <c r="DN29" i="2"/>
  <c r="DM29" i="2"/>
  <c r="DL29" i="2"/>
  <c r="DK29" i="2"/>
  <c r="DJ29" i="2"/>
  <c r="DI29" i="2"/>
  <c r="DH29" i="2"/>
  <c r="DG29" i="2"/>
  <c r="DF29" i="2"/>
  <c r="DE29" i="2"/>
  <c r="DD29" i="2"/>
  <c r="DC29" i="2"/>
  <c r="DB29" i="2"/>
  <c r="DA29" i="2"/>
  <c r="CZ29" i="2"/>
  <c r="CY29" i="2"/>
  <c r="CX29" i="2"/>
  <c r="CW29" i="2"/>
  <c r="CV29" i="2"/>
  <c r="CU29" i="2"/>
  <c r="CT29" i="2"/>
  <c r="CS29" i="2"/>
  <c r="CR29" i="2"/>
  <c r="CQ29" i="2"/>
  <c r="CP29" i="2"/>
  <c r="CO29" i="2"/>
  <c r="CN29" i="2"/>
  <c r="CM29" i="2"/>
  <c r="CL29" i="2"/>
  <c r="CK29" i="2"/>
  <c r="CJ29" i="2"/>
  <c r="CI29" i="2"/>
  <c r="CH29" i="2"/>
  <c r="CG29" i="2"/>
  <c r="CF29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EH28" i="2"/>
  <c r="EG28" i="2"/>
  <c r="EF28" i="2"/>
  <c r="EE28" i="2"/>
  <c r="ED28" i="2"/>
  <c r="EC28" i="2"/>
  <c r="EB28" i="2"/>
  <c r="EA28" i="2"/>
  <c r="DZ28" i="2"/>
  <c r="DY28" i="2"/>
  <c r="DX28" i="2"/>
  <c r="DW28" i="2"/>
  <c r="DV28" i="2"/>
  <c r="DU28" i="2"/>
  <c r="DT28" i="2"/>
  <c r="DS28" i="2"/>
  <c r="DR28" i="2"/>
  <c r="DQ28" i="2"/>
  <c r="DP28" i="2"/>
  <c r="DO28" i="2"/>
  <c r="DN28" i="2"/>
  <c r="DM28" i="2"/>
  <c r="DL28" i="2"/>
  <c r="DK28" i="2"/>
  <c r="DJ28" i="2"/>
  <c r="DI28" i="2"/>
  <c r="DH28" i="2"/>
  <c r="DG28" i="2"/>
  <c r="DF28" i="2"/>
  <c r="DE28" i="2"/>
  <c r="DD28" i="2"/>
  <c r="DC28" i="2"/>
  <c r="DB28" i="2"/>
  <c r="DA28" i="2"/>
  <c r="CZ28" i="2"/>
  <c r="CY28" i="2"/>
  <c r="CX28" i="2"/>
  <c r="CW28" i="2"/>
  <c r="CV28" i="2"/>
  <c r="CU28" i="2"/>
  <c r="CT28" i="2"/>
  <c r="CS28" i="2"/>
  <c r="CR28" i="2"/>
  <c r="CQ28" i="2"/>
  <c r="CP28" i="2"/>
  <c r="CO28" i="2"/>
  <c r="CN28" i="2"/>
  <c r="CM28" i="2"/>
  <c r="CL28" i="2"/>
  <c r="CK28" i="2"/>
  <c r="CJ28" i="2"/>
  <c r="CI28" i="2"/>
  <c r="CH28" i="2"/>
  <c r="CG28" i="2"/>
  <c r="CF28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EH27" i="2"/>
  <c r="EG27" i="2"/>
  <c r="EF27" i="2"/>
  <c r="EE27" i="2"/>
  <c r="ED27" i="2"/>
  <c r="EC27" i="2"/>
  <c r="EB27" i="2"/>
  <c r="EA27" i="2"/>
  <c r="DZ27" i="2"/>
  <c r="DY27" i="2"/>
  <c r="DX27" i="2"/>
  <c r="DW27" i="2"/>
  <c r="DV27" i="2"/>
  <c r="DU27" i="2"/>
  <c r="DT27" i="2"/>
  <c r="DS27" i="2"/>
  <c r="DR27" i="2"/>
  <c r="DQ27" i="2"/>
  <c r="DP27" i="2"/>
  <c r="DO27" i="2"/>
  <c r="DN27" i="2"/>
  <c r="DM27" i="2"/>
  <c r="DL27" i="2"/>
  <c r="DK27" i="2"/>
  <c r="DJ27" i="2"/>
  <c r="DI27" i="2"/>
  <c r="DH27" i="2"/>
  <c r="DG27" i="2"/>
  <c r="DF27" i="2"/>
  <c r="DE27" i="2"/>
  <c r="DD27" i="2"/>
  <c r="DC27" i="2"/>
  <c r="DB27" i="2"/>
  <c r="DA27" i="2"/>
  <c r="CZ27" i="2"/>
  <c r="CY27" i="2"/>
  <c r="CX27" i="2"/>
  <c r="CW27" i="2"/>
  <c r="CV27" i="2"/>
  <c r="CU27" i="2"/>
  <c r="CT27" i="2"/>
  <c r="CS27" i="2"/>
  <c r="CR27" i="2"/>
  <c r="CQ27" i="2"/>
  <c r="CP27" i="2"/>
  <c r="CO27" i="2"/>
  <c r="CN27" i="2"/>
  <c r="CM27" i="2"/>
  <c r="CL27" i="2"/>
  <c r="CK27" i="2"/>
  <c r="CJ27" i="2"/>
  <c r="CI27" i="2"/>
  <c r="CH27" i="2"/>
  <c r="CG27" i="2"/>
  <c r="CF27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EH26" i="2"/>
  <c r="EG26" i="2"/>
  <c r="EF26" i="2"/>
  <c r="EE26" i="2"/>
  <c r="ED26" i="2"/>
  <c r="EC26" i="2"/>
  <c r="EB26" i="2"/>
  <c r="EA26" i="2"/>
  <c r="DZ26" i="2"/>
  <c r="DY26" i="2"/>
  <c r="DX26" i="2"/>
  <c r="DW26" i="2"/>
  <c r="DV26" i="2"/>
  <c r="DU26" i="2"/>
  <c r="DT26" i="2"/>
  <c r="DS26" i="2"/>
  <c r="DR26" i="2"/>
  <c r="DQ26" i="2"/>
  <c r="DP26" i="2"/>
  <c r="DO26" i="2"/>
  <c r="DN26" i="2"/>
  <c r="DM26" i="2"/>
  <c r="DL26" i="2"/>
  <c r="DK26" i="2"/>
  <c r="DJ26" i="2"/>
  <c r="DI26" i="2"/>
  <c r="DH26" i="2"/>
  <c r="DG26" i="2"/>
  <c r="DF26" i="2"/>
  <c r="DE26" i="2"/>
  <c r="DD26" i="2"/>
  <c r="DC26" i="2"/>
  <c r="DB26" i="2"/>
  <c r="DA26" i="2"/>
  <c r="CZ26" i="2"/>
  <c r="CY26" i="2"/>
  <c r="CX26" i="2"/>
  <c r="CW26" i="2"/>
  <c r="CV26" i="2"/>
  <c r="CU26" i="2"/>
  <c r="CT26" i="2"/>
  <c r="CS26" i="2"/>
  <c r="CR26" i="2"/>
  <c r="CQ26" i="2"/>
  <c r="CP26" i="2"/>
  <c r="CO26" i="2"/>
  <c r="CN26" i="2"/>
  <c r="CM26" i="2"/>
  <c r="CL26" i="2"/>
  <c r="CK26" i="2"/>
  <c r="CJ26" i="2"/>
  <c r="CI26" i="2"/>
  <c r="CH26" i="2"/>
  <c r="CG26" i="2"/>
  <c r="CF26" i="2"/>
  <c r="CE26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EH25" i="2"/>
  <c r="EG25" i="2"/>
  <c r="EF25" i="2"/>
  <c r="EE25" i="2"/>
  <c r="ED25" i="2"/>
  <c r="EC25" i="2"/>
  <c r="EB25" i="2"/>
  <c r="EA25" i="2"/>
  <c r="DZ25" i="2"/>
  <c r="DY25" i="2"/>
  <c r="DX25" i="2"/>
  <c r="DW25" i="2"/>
  <c r="DV25" i="2"/>
  <c r="DU25" i="2"/>
  <c r="DT25" i="2"/>
  <c r="DS25" i="2"/>
  <c r="DR25" i="2"/>
  <c r="DQ25" i="2"/>
  <c r="DP25" i="2"/>
  <c r="DO25" i="2"/>
  <c r="DN25" i="2"/>
  <c r="DM25" i="2"/>
  <c r="DL25" i="2"/>
  <c r="DK25" i="2"/>
  <c r="DJ25" i="2"/>
  <c r="DI25" i="2"/>
  <c r="DH25" i="2"/>
  <c r="DG25" i="2"/>
  <c r="DF25" i="2"/>
  <c r="DE25" i="2"/>
  <c r="DD25" i="2"/>
  <c r="DC25" i="2"/>
  <c r="DB25" i="2"/>
  <c r="DA25" i="2"/>
  <c r="CZ25" i="2"/>
  <c r="CY25" i="2"/>
  <c r="CX25" i="2"/>
  <c r="CW25" i="2"/>
  <c r="CV25" i="2"/>
  <c r="CU25" i="2"/>
  <c r="CT25" i="2"/>
  <c r="CS25" i="2"/>
  <c r="CR25" i="2"/>
  <c r="CQ25" i="2"/>
  <c r="CP25" i="2"/>
  <c r="CO25" i="2"/>
  <c r="CN25" i="2"/>
  <c r="CM25" i="2"/>
  <c r="CL25" i="2"/>
  <c r="CK25" i="2"/>
  <c r="CJ25" i="2"/>
  <c r="CI25" i="2"/>
  <c r="CH25" i="2"/>
  <c r="CG25" i="2"/>
  <c r="CF25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EH24" i="2"/>
  <c r="EG24" i="2"/>
  <c r="EF24" i="2"/>
  <c r="EE24" i="2"/>
  <c r="ED24" i="2"/>
  <c r="EC24" i="2"/>
  <c r="EB24" i="2"/>
  <c r="EA24" i="2"/>
  <c r="DZ24" i="2"/>
  <c r="DY24" i="2"/>
  <c r="DX24" i="2"/>
  <c r="DW24" i="2"/>
  <c r="DV24" i="2"/>
  <c r="DU24" i="2"/>
  <c r="DT24" i="2"/>
  <c r="DS24" i="2"/>
  <c r="DR24" i="2"/>
  <c r="DQ24" i="2"/>
  <c r="DP24" i="2"/>
  <c r="DO24" i="2"/>
  <c r="DN24" i="2"/>
  <c r="DM24" i="2"/>
  <c r="DL24" i="2"/>
  <c r="DK24" i="2"/>
  <c r="DJ24" i="2"/>
  <c r="DI24" i="2"/>
  <c r="DH24" i="2"/>
  <c r="DG24" i="2"/>
  <c r="DF24" i="2"/>
  <c r="DE24" i="2"/>
  <c r="DD24" i="2"/>
  <c r="DC24" i="2"/>
  <c r="DB24" i="2"/>
  <c r="DA24" i="2"/>
  <c r="CZ24" i="2"/>
  <c r="CY24" i="2"/>
  <c r="CX24" i="2"/>
  <c r="CW24" i="2"/>
  <c r="CV24" i="2"/>
  <c r="CU24" i="2"/>
  <c r="CT24" i="2"/>
  <c r="CS24" i="2"/>
  <c r="CR24" i="2"/>
  <c r="CQ24" i="2"/>
  <c r="CP24" i="2"/>
  <c r="CO24" i="2"/>
  <c r="CN24" i="2"/>
  <c r="CM24" i="2"/>
  <c r="CL24" i="2"/>
  <c r="CK24" i="2"/>
  <c r="CJ24" i="2"/>
  <c r="CI24" i="2"/>
  <c r="CH24" i="2"/>
  <c r="CG24" i="2"/>
  <c r="CF24" i="2"/>
  <c r="CE24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EH23" i="2"/>
  <c r="EG23" i="2"/>
  <c r="EF23" i="2"/>
  <c r="EE23" i="2"/>
  <c r="ED23" i="2"/>
  <c r="EC23" i="2"/>
  <c r="EB23" i="2"/>
  <c r="EA23" i="2"/>
  <c r="DZ23" i="2"/>
  <c r="DY23" i="2"/>
  <c r="DX23" i="2"/>
  <c r="DW23" i="2"/>
  <c r="DV23" i="2"/>
  <c r="DU23" i="2"/>
  <c r="DT23" i="2"/>
  <c r="DS23" i="2"/>
  <c r="DR23" i="2"/>
  <c r="DQ23" i="2"/>
  <c r="DP23" i="2"/>
  <c r="DO23" i="2"/>
  <c r="DN23" i="2"/>
  <c r="DM23" i="2"/>
  <c r="DL23" i="2"/>
  <c r="DK23" i="2"/>
  <c r="DJ23" i="2"/>
  <c r="DI23" i="2"/>
  <c r="DH23" i="2"/>
  <c r="DG23" i="2"/>
  <c r="DF23" i="2"/>
  <c r="DE23" i="2"/>
  <c r="DD23" i="2"/>
  <c r="DC23" i="2"/>
  <c r="DB23" i="2"/>
  <c r="DA23" i="2"/>
  <c r="CZ23" i="2"/>
  <c r="CY23" i="2"/>
  <c r="CX23" i="2"/>
  <c r="CW23" i="2"/>
  <c r="CV23" i="2"/>
  <c r="CU23" i="2"/>
  <c r="CT23" i="2"/>
  <c r="CS23" i="2"/>
  <c r="CR23" i="2"/>
  <c r="CQ23" i="2"/>
  <c r="CP23" i="2"/>
  <c r="CO23" i="2"/>
  <c r="CN23" i="2"/>
  <c r="CM23" i="2"/>
  <c r="CL23" i="2"/>
  <c r="CK23" i="2"/>
  <c r="CJ23" i="2"/>
  <c r="CI23" i="2"/>
  <c r="CH23" i="2"/>
  <c r="CG23" i="2"/>
  <c r="CF23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EH22" i="2"/>
  <c r="EG22" i="2"/>
  <c r="EF22" i="2"/>
  <c r="EE22" i="2"/>
  <c r="ED22" i="2"/>
  <c r="EC22" i="2"/>
  <c r="EB22" i="2"/>
  <c r="EA22" i="2"/>
  <c r="DZ22" i="2"/>
  <c r="DY22" i="2"/>
  <c r="DX22" i="2"/>
  <c r="DW22" i="2"/>
  <c r="DV22" i="2"/>
  <c r="DU22" i="2"/>
  <c r="DT22" i="2"/>
  <c r="DS22" i="2"/>
  <c r="DR22" i="2"/>
  <c r="DQ22" i="2"/>
  <c r="DP22" i="2"/>
  <c r="DO22" i="2"/>
  <c r="DN22" i="2"/>
  <c r="DM22" i="2"/>
  <c r="DL22" i="2"/>
  <c r="DK22" i="2"/>
  <c r="DJ22" i="2"/>
  <c r="DI22" i="2"/>
  <c r="DH22" i="2"/>
  <c r="DG22" i="2"/>
  <c r="DF22" i="2"/>
  <c r="DE22" i="2"/>
  <c r="DD22" i="2"/>
  <c r="DC22" i="2"/>
  <c r="DB22" i="2"/>
  <c r="DA22" i="2"/>
  <c r="CZ22" i="2"/>
  <c r="CY22" i="2"/>
  <c r="CX22" i="2"/>
  <c r="CW22" i="2"/>
  <c r="CV22" i="2"/>
  <c r="CU22" i="2"/>
  <c r="CT22" i="2"/>
  <c r="CS22" i="2"/>
  <c r="CR22" i="2"/>
  <c r="CQ22" i="2"/>
  <c r="CP22" i="2"/>
  <c r="CO22" i="2"/>
  <c r="CN22" i="2"/>
  <c r="CM22" i="2"/>
  <c r="CL22" i="2"/>
  <c r="CK22" i="2"/>
  <c r="CJ22" i="2"/>
  <c r="CI22" i="2"/>
  <c r="CH22" i="2"/>
  <c r="CG22" i="2"/>
  <c r="CF22" i="2"/>
  <c r="CE22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EH21" i="2"/>
  <c r="EG21" i="2"/>
  <c r="EF21" i="2"/>
  <c r="EE21" i="2"/>
  <c r="ED21" i="2"/>
  <c r="EC21" i="2"/>
  <c r="EB21" i="2"/>
  <c r="EA21" i="2"/>
  <c r="DZ21" i="2"/>
  <c r="DY21" i="2"/>
  <c r="DX21" i="2"/>
  <c r="DW21" i="2"/>
  <c r="DV21" i="2"/>
  <c r="DU21" i="2"/>
  <c r="DT21" i="2"/>
  <c r="DS21" i="2"/>
  <c r="DR21" i="2"/>
  <c r="DQ21" i="2"/>
  <c r="DP21" i="2"/>
  <c r="DO21" i="2"/>
  <c r="DN21" i="2"/>
  <c r="DM21" i="2"/>
  <c r="DL21" i="2"/>
  <c r="DK21" i="2"/>
  <c r="DJ21" i="2"/>
  <c r="DI21" i="2"/>
  <c r="DH21" i="2"/>
  <c r="DG21" i="2"/>
  <c r="DF21" i="2"/>
  <c r="DE21" i="2"/>
  <c r="DD21" i="2"/>
  <c r="DC21" i="2"/>
  <c r="DB21" i="2"/>
  <c r="DA21" i="2"/>
  <c r="CZ21" i="2"/>
  <c r="CY21" i="2"/>
  <c r="CX21" i="2"/>
  <c r="CW21" i="2"/>
  <c r="CV21" i="2"/>
  <c r="CU21" i="2"/>
  <c r="CT21" i="2"/>
  <c r="CS21" i="2"/>
  <c r="CR21" i="2"/>
  <c r="CQ21" i="2"/>
  <c r="CP21" i="2"/>
  <c r="CO21" i="2"/>
  <c r="CN21" i="2"/>
  <c r="CM21" i="2"/>
  <c r="CL21" i="2"/>
  <c r="CK21" i="2"/>
  <c r="CJ21" i="2"/>
  <c r="CI21" i="2"/>
  <c r="CH21" i="2"/>
  <c r="CG21" i="2"/>
  <c r="CF21" i="2"/>
  <c r="CE21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EH19" i="2"/>
  <c r="EG19" i="2"/>
  <c r="EF19" i="2"/>
  <c r="EE19" i="2"/>
  <c r="ED19" i="2"/>
  <c r="EC19" i="2"/>
  <c r="EB19" i="2"/>
  <c r="EA19" i="2"/>
  <c r="DZ19" i="2"/>
  <c r="DY19" i="2"/>
  <c r="DX19" i="2"/>
  <c r="DW19" i="2"/>
  <c r="DV19" i="2"/>
  <c r="DU19" i="2"/>
  <c r="DT19" i="2"/>
  <c r="DS19" i="2"/>
  <c r="DR19" i="2"/>
  <c r="DQ19" i="2"/>
  <c r="DP19" i="2"/>
  <c r="DO19" i="2"/>
  <c r="DN19" i="2"/>
  <c r="DM19" i="2"/>
  <c r="DL19" i="2"/>
  <c r="DK19" i="2"/>
  <c r="DJ19" i="2"/>
  <c r="DI19" i="2"/>
  <c r="DH19" i="2"/>
  <c r="DG19" i="2"/>
  <c r="DF19" i="2"/>
  <c r="DE19" i="2"/>
  <c r="DD19" i="2"/>
  <c r="DC19" i="2"/>
  <c r="DB19" i="2"/>
  <c r="DA19" i="2"/>
  <c r="CZ19" i="2"/>
  <c r="CY19" i="2"/>
  <c r="CX19" i="2"/>
  <c r="CW19" i="2"/>
  <c r="CV19" i="2"/>
  <c r="CU19" i="2"/>
  <c r="CT19" i="2"/>
  <c r="CS19" i="2"/>
  <c r="CR19" i="2"/>
  <c r="CQ19" i="2"/>
  <c r="CP19" i="2"/>
  <c r="CO19" i="2"/>
  <c r="CN19" i="2"/>
  <c r="CM19" i="2"/>
  <c r="CL19" i="2"/>
  <c r="CK19" i="2"/>
  <c r="CJ19" i="2"/>
  <c r="CI19" i="2"/>
  <c r="CH19" i="2"/>
  <c r="CG19" i="2"/>
  <c r="CF19" i="2"/>
  <c r="CE19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EH18" i="2"/>
  <c r="EG18" i="2"/>
  <c r="EF18" i="2"/>
  <c r="EE18" i="2"/>
  <c r="ED18" i="2"/>
  <c r="EC18" i="2"/>
  <c r="EB18" i="2"/>
  <c r="EA18" i="2"/>
  <c r="DZ18" i="2"/>
  <c r="DY18" i="2"/>
  <c r="DX18" i="2"/>
  <c r="DW18" i="2"/>
  <c r="DV18" i="2"/>
  <c r="DU18" i="2"/>
  <c r="DT18" i="2"/>
  <c r="DS18" i="2"/>
  <c r="DR18" i="2"/>
  <c r="DQ18" i="2"/>
  <c r="DP18" i="2"/>
  <c r="DO18" i="2"/>
  <c r="DN18" i="2"/>
  <c r="DM18" i="2"/>
  <c r="DL18" i="2"/>
  <c r="DK18" i="2"/>
  <c r="DJ18" i="2"/>
  <c r="DI18" i="2"/>
  <c r="DH18" i="2"/>
  <c r="DG18" i="2"/>
  <c r="DF18" i="2"/>
  <c r="DE18" i="2"/>
  <c r="DD18" i="2"/>
  <c r="DC18" i="2"/>
  <c r="DB18" i="2"/>
  <c r="DA18" i="2"/>
  <c r="CZ18" i="2"/>
  <c r="CY18" i="2"/>
  <c r="CX18" i="2"/>
  <c r="CW18" i="2"/>
  <c r="CV18" i="2"/>
  <c r="CU18" i="2"/>
  <c r="CT18" i="2"/>
  <c r="CS18" i="2"/>
  <c r="CR18" i="2"/>
  <c r="CQ18" i="2"/>
  <c r="CP18" i="2"/>
  <c r="CO18" i="2"/>
  <c r="CN18" i="2"/>
  <c r="CM18" i="2"/>
  <c r="CL18" i="2"/>
  <c r="CK18" i="2"/>
  <c r="CJ18" i="2"/>
  <c r="CI18" i="2"/>
  <c r="CH18" i="2"/>
  <c r="CG18" i="2"/>
  <c r="CF18" i="2"/>
  <c r="CE18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EH17" i="2"/>
  <c r="EG17" i="2"/>
  <c r="EF17" i="2"/>
  <c r="EE17" i="2"/>
  <c r="ED17" i="2"/>
  <c r="EC17" i="2"/>
  <c r="EB17" i="2"/>
  <c r="EA17" i="2"/>
  <c r="DZ17" i="2"/>
  <c r="DY17" i="2"/>
  <c r="DX17" i="2"/>
  <c r="DW17" i="2"/>
  <c r="DV17" i="2"/>
  <c r="DU17" i="2"/>
  <c r="DT17" i="2"/>
  <c r="DS17" i="2"/>
  <c r="DR17" i="2"/>
  <c r="DQ17" i="2"/>
  <c r="DP17" i="2"/>
  <c r="DO17" i="2"/>
  <c r="DN17" i="2"/>
  <c r="DM17" i="2"/>
  <c r="DL17" i="2"/>
  <c r="DK17" i="2"/>
  <c r="DJ17" i="2"/>
  <c r="DI17" i="2"/>
  <c r="DH17" i="2"/>
  <c r="DG17" i="2"/>
  <c r="DF17" i="2"/>
  <c r="DE17" i="2"/>
  <c r="DD17" i="2"/>
  <c r="DC17" i="2"/>
  <c r="DB17" i="2"/>
  <c r="DA17" i="2"/>
  <c r="CZ17" i="2"/>
  <c r="CY17" i="2"/>
  <c r="CX17" i="2"/>
  <c r="CW17" i="2"/>
  <c r="CV17" i="2"/>
  <c r="CU17" i="2"/>
  <c r="CT17" i="2"/>
  <c r="CS17" i="2"/>
  <c r="CR17" i="2"/>
  <c r="CQ17" i="2"/>
  <c r="CP17" i="2"/>
  <c r="CO17" i="2"/>
  <c r="CN17" i="2"/>
  <c r="CM17" i="2"/>
  <c r="CL17" i="2"/>
  <c r="CK17" i="2"/>
  <c r="CJ17" i="2"/>
  <c r="CI17" i="2"/>
  <c r="CH17" i="2"/>
  <c r="CG17" i="2"/>
  <c r="CF17" i="2"/>
  <c r="CE17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EH16" i="2"/>
  <c r="EG16" i="2"/>
  <c r="EF16" i="2"/>
  <c r="EE16" i="2"/>
  <c r="ED16" i="2"/>
  <c r="EC16" i="2"/>
  <c r="EB16" i="2"/>
  <c r="EA16" i="2"/>
  <c r="DZ16" i="2"/>
  <c r="DY16" i="2"/>
  <c r="DX16" i="2"/>
  <c r="DW16" i="2"/>
  <c r="DV16" i="2"/>
  <c r="DU16" i="2"/>
  <c r="DT16" i="2"/>
  <c r="DS16" i="2"/>
  <c r="DR16" i="2"/>
  <c r="DQ16" i="2"/>
  <c r="DP16" i="2"/>
  <c r="DO16" i="2"/>
  <c r="DN16" i="2"/>
  <c r="DM16" i="2"/>
  <c r="DL16" i="2"/>
  <c r="DK16" i="2"/>
  <c r="DJ16" i="2"/>
  <c r="DI16" i="2"/>
  <c r="DH16" i="2"/>
  <c r="DG16" i="2"/>
  <c r="DF16" i="2"/>
  <c r="DE16" i="2"/>
  <c r="DD16" i="2"/>
  <c r="DC16" i="2"/>
  <c r="DB16" i="2"/>
  <c r="DA16" i="2"/>
  <c r="CZ16" i="2"/>
  <c r="CY16" i="2"/>
  <c r="CX16" i="2"/>
  <c r="CW16" i="2"/>
  <c r="CV16" i="2"/>
  <c r="CU16" i="2"/>
  <c r="CT16" i="2"/>
  <c r="CS16" i="2"/>
  <c r="CR16" i="2"/>
  <c r="CQ16" i="2"/>
  <c r="CP16" i="2"/>
  <c r="CO16" i="2"/>
  <c r="CN16" i="2"/>
  <c r="CM16" i="2"/>
  <c r="CL16" i="2"/>
  <c r="CK16" i="2"/>
  <c r="CJ16" i="2"/>
  <c r="CI16" i="2"/>
  <c r="CH16" i="2"/>
  <c r="CG16" i="2"/>
  <c r="CF16" i="2"/>
  <c r="CE16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EH15" i="2"/>
  <c r="EG15" i="2"/>
  <c r="EF15" i="2"/>
  <c r="EE15" i="2"/>
  <c r="ED15" i="2"/>
  <c r="EC15" i="2"/>
  <c r="EB15" i="2"/>
  <c r="EA15" i="2"/>
  <c r="DZ15" i="2"/>
  <c r="DY15" i="2"/>
  <c r="DX15" i="2"/>
  <c r="DW15" i="2"/>
  <c r="DV15" i="2"/>
  <c r="DU15" i="2"/>
  <c r="DT15" i="2"/>
  <c r="DS15" i="2"/>
  <c r="DR15" i="2"/>
  <c r="DQ15" i="2"/>
  <c r="DP15" i="2"/>
  <c r="DO15" i="2"/>
  <c r="DN15" i="2"/>
  <c r="DM15" i="2"/>
  <c r="DL15" i="2"/>
  <c r="DK15" i="2"/>
  <c r="DJ15" i="2"/>
  <c r="DI15" i="2"/>
  <c r="DH15" i="2"/>
  <c r="DG15" i="2"/>
  <c r="DF15" i="2"/>
  <c r="DE15" i="2"/>
  <c r="DD15" i="2"/>
  <c r="DC15" i="2"/>
  <c r="DB15" i="2"/>
  <c r="DA15" i="2"/>
  <c r="CZ15" i="2"/>
  <c r="CY15" i="2"/>
  <c r="CX15" i="2"/>
  <c r="CW15" i="2"/>
  <c r="CV15" i="2"/>
  <c r="CU15" i="2"/>
  <c r="CT15" i="2"/>
  <c r="CS15" i="2"/>
  <c r="CR15" i="2"/>
  <c r="CQ15" i="2"/>
  <c r="CP15" i="2"/>
  <c r="CO15" i="2"/>
  <c r="CN15" i="2"/>
  <c r="CM15" i="2"/>
  <c r="CL15" i="2"/>
  <c r="CK15" i="2"/>
  <c r="CJ15" i="2"/>
  <c r="CI15" i="2"/>
  <c r="CH15" i="2"/>
  <c r="CG15" i="2"/>
  <c r="CF15" i="2"/>
  <c r="CE15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EH14" i="2"/>
  <c r="EG14" i="2"/>
  <c r="EF14" i="2"/>
  <c r="EE14" i="2"/>
  <c r="ED14" i="2"/>
  <c r="EC14" i="2"/>
  <c r="EB14" i="2"/>
  <c r="EA14" i="2"/>
  <c r="DZ14" i="2"/>
  <c r="DY14" i="2"/>
  <c r="DX14" i="2"/>
  <c r="DW14" i="2"/>
  <c r="DV14" i="2"/>
  <c r="DU14" i="2"/>
  <c r="DT14" i="2"/>
  <c r="DS14" i="2"/>
  <c r="DR14" i="2"/>
  <c r="DQ14" i="2"/>
  <c r="DP14" i="2"/>
  <c r="DO14" i="2"/>
  <c r="DN14" i="2"/>
  <c r="DM14" i="2"/>
  <c r="DL14" i="2"/>
  <c r="DK14" i="2"/>
  <c r="DJ14" i="2"/>
  <c r="DI14" i="2"/>
  <c r="DH14" i="2"/>
  <c r="DG14" i="2"/>
  <c r="DF14" i="2"/>
  <c r="DE14" i="2"/>
  <c r="DD14" i="2"/>
  <c r="DC14" i="2"/>
  <c r="DB14" i="2"/>
  <c r="DA14" i="2"/>
  <c r="CZ14" i="2"/>
  <c r="CY14" i="2"/>
  <c r="CX14" i="2"/>
  <c r="CW14" i="2"/>
  <c r="CV14" i="2"/>
  <c r="CU14" i="2"/>
  <c r="CT14" i="2"/>
  <c r="CS14" i="2"/>
  <c r="CR14" i="2"/>
  <c r="CQ14" i="2"/>
  <c r="CP14" i="2"/>
  <c r="CO14" i="2"/>
  <c r="CN14" i="2"/>
  <c r="CM14" i="2"/>
  <c r="CL14" i="2"/>
  <c r="CK14" i="2"/>
  <c r="CJ14" i="2"/>
  <c r="CI14" i="2"/>
  <c r="CH14" i="2"/>
  <c r="CG14" i="2"/>
  <c r="CF14" i="2"/>
  <c r="CE14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EH13" i="2"/>
  <c r="EG13" i="2"/>
  <c r="EF13" i="2"/>
  <c r="EE13" i="2"/>
  <c r="ED13" i="2"/>
  <c r="EC13" i="2"/>
  <c r="EB13" i="2"/>
  <c r="EA13" i="2"/>
  <c r="DZ13" i="2"/>
  <c r="DY13" i="2"/>
  <c r="DX13" i="2"/>
  <c r="DW13" i="2"/>
  <c r="DV13" i="2"/>
  <c r="DU13" i="2"/>
  <c r="DT13" i="2"/>
  <c r="DS13" i="2"/>
  <c r="DR13" i="2"/>
  <c r="DQ13" i="2"/>
  <c r="DP13" i="2"/>
  <c r="DO13" i="2"/>
  <c r="DN13" i="2"/>
  <c r="DM13" i="2"/>
  <c r="DL13" i="2"/>
  <c r="DK13" i="2"/>
  <c r="DJ13" i="2"/>
  <c r="DI13" i="2"/>
  <c r="DH13" i="2"/>
  <c r="DG13" i="2"/>
  <c r="DF13" i="2"/>
  <c r="DE13" i="2"/>
  <c r="DD13" i="2"/>
  <c r="DC13" i="2"/>
  <c r="DB13" i="2"/>
  <c r="DA13" i="2"/>
  <c r="CZ13" i="2"/>
  <c r="CY13" i="2"/>
  <c r="CX13" i="2"/>
  <c r="CW13" i="2"/>
  <c r="CV13" i="2"/>
  <c r="CU13" i="2"/>
  <c r="CT13" i="2"/>
  <c r="CS13" i="2"/>
  <c r="CR13" i="2"/>
  <c r="CQ13" i="2"/>
  <c r="CP13" i="2"/>
  <c r="CO13" i="2"/>
  <c r="CN13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EH12" i="2"/>
  <c r="EG12" i="2"/>
  <c r="EF12" i="2"/>
  <c r="EE12" i="2"/>
  <c r="ED12" i="2"/>
  <c r="EC12" i="2"/>
  <c r="EB12" i="2"/>
  <c r="EA12" i="2"/>
  <c r="DZ12" i="2"/>
  <c r="DY12" i="2"/>
  <c r="DX12" i="2"/>
  <c r="DW12" i="2"/>
  <c r="DV12" i="2"/>
  <c r="DU12" i="2"/>
  <c r="DT12" i="2"/>
  <c r="DS12" i="2"/>
  <c r="DR12" i="2"/>
  <c r="DQ12" i="2"/>
  <c r="DP12" i="2"/>
  <c r="DO12" i="2"/>
  <c r="DN12" i="2"/>
  <c r="DM12" i="2"/>
  <c r="DL12" i="2"/>
  <c r="DK12" i="2"/>
  <c r="DJ12" i="2"/>
  <c r="DI12" i="2"/>
  <c r="DH12" i="2"/>
  <c r="DG12" i="2"/>
  <c r="DF12" i="2"/>
  <c r="DE12" i="2"/>
  <c r="DD12" i="2"/>
  <c r="DC12" i="2"/>
  <c r="DB12" i="2"/>
  <c r="DA12" i="2"/>
  <c r="CZ12" i="2"/>
  <c r="CY12" i="2"/>
  <c r="CX12" i="2"/>
  <c r="CW12" i="2"/>
  <c r="CV12" i="2"/>
  <c r="CU12" i="2"/>
  <c r="CT12" i="2"/>
  <c r="CS12" i="2"/>
  <c r="CR12" i="2"/>
  <c r="CQ12" i="2"/>
  <c r="CP12" i="2"/>
  <c r="CO12" i="2"/>
  <c r="CN12" i="2"/>
  <c r="CM12" i="2"/>
  <c r="CL12" i="2"/>
  <c r="CK12" i="2"/>
  <c r="CJ12" i="2"/>
  <c r="CI12" i="2"/>
  <c r="CH12" i="2"/>
  <c r="CG12" i="2"/>
  <c r="CF12" i="2"/>
  <c r="CE12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EH10" i="2"/>
  <c r="EG10" i="2"/>
  <c r="EF10" i="2"/>
  <c r="EE10" i="2"/>
  <c r="ED10" i="2"/>
  <c r="EC10" i="2"/>
  <c r="EB10" i="2"/>
  <c r="EA10" i="2"/>
  <c r="DZ10" i="2"/>
  <c r="DY10" i="2"/>
  <c r="DX10" i="2"/>
  <c r="DW10" i="2"/>
  <c r="DV10" i="2"/>
  <c r="DU10" i="2"/>
  <c r="DT10" i="2"/>
  <c r="DS10" i="2"/>
  <c r="DR10" i="2"/>
  <c r="DQ10" i="2"/>
  <c r="DP10" i="2"/>
  <c r="DO10" i="2"/>
  <c r="DN10" i="2"/>
  <c r="DM10" i="2"/>
  <c r="DL10" i="2"/>
  <c r="DK10" i="2"/>
  <c r="DJ10" i="2"/>
  <c r="DI10" i="2"/>
  <c r="DH10" i="2"/>
  <c r="DG10" i="2"/>
  <c r="DF10" i="2"/>
  <c r="DE10" i="2"/>
  <c r="DD10" i="2"/>
  <c r="DC10" i="2"/>
  <c r="DB10" i="2"/>
  <c r="DA10" i="2"/>
  <c r="CZ10" i="2"/>
  <c r="CY10" i="2"/>
  <c r="CX10" i="2"/>
  <c r="CW10" i="2"/>
  <c r="CV10" i="2"/>
  <c r="CU10" i="2"/>
  <c r="CT10" i="2"/>
  <c r="CS10" i="2"/>
  <c r="CR10" i="2"/>
  <c r="CQ10" i="2"/>
  <c r="CP10" i="2"/>
  <c r="CO10" i="2"/>
  <c r="CN10" i="2"/>
  <c r="CM10" i="2"/>
  <c r="CL10" i="2"/>
  <c r="CK10" i="2"/>
  <c r="CJ10" i="2"/>
  <c r="CI10" i="2"/>
  <c r="CH10" i="2"/>
  <c r="CG10" i="2"/>
  <c r="CF10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EH9" i="2"/>
  <c r="EG9" i="2"/>
  <c r="EF9" i="2"/>
  <c r="EE9" i="2"/>
  <c r="ED9" i="2"/>
  <c r="EC9" i="2"/>
  <c r="EB9" i="2"/>
  <c r="EA9" i="2"/>
  <c r="DZ9" i="2"/>
  <c r="DY9" i="2"/>
  <c r="DX9" i="2"/>
  <c r="DW9" i="2"/>
  <c r="DV9" i="2"/>
  <c r="DU9" i="2"/>
  <c r="DT9" i="2"/>
  <c r="DS9" i="2"/>
  <c r="DR9" i="2"/>
  <c r="DQ9" i="2"/>
  <c r="DP9" i="2"/>
  <c r="DO9" i="2"/>
  <c r="DN9" i="2"/>
  <c r="DM9" i="2"/>
  <c r="DL9" i="2"/>
  <c r="DK9" i="2"/>
  <c r="DJ9" i="2"/>
  <c r="DI9" i="2"/>
  <c r="DH9" i="2"/>
  <c r="DG9" i="2"/>
  <c r="DF9" i="2"/>
  <c r="DE9" i="2"/>
  <c r="DD9" i="2"/>
  <c r="DC9" i="2"/>
  <c r="DB9" i="2"/>
  <c r="DA9" i="2"/>
  <c r="CZ9" i="2"/>
  <c r="CY9" i="2"/>
  <c r="CX9" i="2"/>
  <c r="CW9" i="2"/>
  <c r="CV9" i="2"/>
  <c r="CU9" i="2"/>
  <c r="CT9" i="2"/>
  <c r="CS9" i="2"/>
  <c r="CR9" i="2"/>
  <c r="CQ9" i="2"/>
  <c r="CP9" i="2"/>
  <c r="CO9" i="2"/>
  <c r="CN9" i="2"/>
  <c r="CM9" i="2"/>
  <c r="CL9" i="2"/>
  <c r="CK9" i="2"/>
  <c r="CJ9" i="2"/>
  <c r="CI9" i="2"/>
  <c r="CH9" i="2"/>
  <c r="CG9" i="2"/>
  <c r="CF9" i="2"/>
  <c r="CE9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EH8" i="2"/>
  <c r="EG8" i="2"/>
  <c r="EF8" i="2"/>
  <c r="EE8" i="2"/>
  <c r="ED8" i="2"/>
  <c r="EC8" i="2"/>
  <c r="EB8" i="2"/>
  <c r="EA8" i="2"/>
  <c r="DZ8" i="2"/>
  <c r="DY8" i="2"/>
  <c r="DX8" i="2"/>
  <c r="DW8" i="2"/>
  <c r="DV8" i="2"/>
  <c r="DU8" i="2"/>
  <c r="DT8" i="2"/>
  <c r="DS8" i="2"/>
  <c r="DR8" i="2"/>
  <c r="DQ8" i="2"/>
  <c r="DP8" i="2"/>
  <c r="DO8" i="2"/>
  <c r="DN8" i="2"/>
  <c r="DM8" i="2"/>
  <c r="DL8" i="2"/>
  <c r="DK8" i="2"/>
  <c r="DJ8" i="2"/>
  <c r="DI8" i="2"/>
  <c r="DH8" i="2"/>
  <c r="DG8" i="2"/>
  <c r="DF8" i="2"/>
  <c r="DE8" i="2"/>
  <c r="DD8" i="2"/>
  <c r="DC8" i="2"/>
  <c r="DB8" i="2"/>
  <c r="DA8" i="2"/>
  <c r="CZ8" i="2"/>
  <c r="CY8" i="2"/>
  <c r="CX8" i="2"/>
  <c r="CW8" i="2"/>
  <c r="CV8" i="2"/>
  <c r="CU8" i="2"/>
  <c r="CT8" i="2"/>
  <c r="CS8" i="2"/>
  <c r="CR8" i="2"/>
  <c r="CQ8" i="2"/>
  <c r="CP8" i="2"/>
  <c r="CO8" i="2"/>
  <c r="CN8" i="2"/>
  <c r="CM8" i="2"/>
  <c r="CL8" i="2"/>
  <c r="CK8" i="2"/>
  <c r="CJ8" i="2"/>
  <c r="CI8" i="2"/>
  <c r="CH8" i="2"/>
  <c r="CG8" i="2"/>
  <c r="CF8" i="2"/>
  <c r="CE8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EH7" i="2"/>
  <c r="EG7" i="2"/>
  <c r="EF7" i="2"/>
  <c r="EE7" i="2"/>
  <c r="ED7" i="2"/>
  <c r="EC7" i="2"/>
  <c r="EB7" i="2"/>
  <c r="EA7" i="2"/>
  <c r="DZ7" i="2"/>
  <c r="DY7" i="2"/>
  <c r="DX7" i="2"/>
  <c r="DW7" i="2"/>
  <c r="DV7" i="2"/>
  <c r="DU7" i="2"/>
  <c r="DT7" i="2"/>
  <c r="DS7" i="2"/>
  <c r="DR7" i="2"/>
  <c r="DQ7" i="2"/>
  <c r="DP7" i="2"/>
  <c r="DO7" i="2"/>
  <c r="DN7" i="2"/>
  <c r="DM7" i="2"/>
  <c r="DL7" i="2"/>
  <c r="DK7" i="2"/>
  <c r="DJ7" i="2"/>
  <c r="DI7" i="2"/>
  <c r="DH7" i="2"/>
  <c r="DG7" i="2"/>
  <c r="DF7" i="2"/>
  <c r="DE7" i="2"/>
  <c r="DD7" i="2"/>
  <c r="DC7" i="2"/>
  <c r="DB7" i="2"/>
  <c r="DA7" i="2"/>
  <c r="CZ7" i="2"/>
  <c r="CY7" i="2"/>
  <c r="CX7" i="2"/>
  <c r="CW7" i="2"/>
  <c r="CV7" i="2"/>
  <c r="CU7" i="2"/>
  <c r="CT7" i="2"/>
  <c r="CS7" i="2"/>
  <c r="CR7" i="2"/>
  <c r="CQ7" i="2"/>
  <c r="CP7" i="2"/>
  <c r="CO7" i="2"/>
  <c r="CN7" i="2"/>
  <c r="CM7" i="2"/>
  <c r="CL7" i="2"/>
  <c r="CK7" i="2"/>
  <c r="CJ7" i="2"/>
  <c r="CI7" i="2"/>
  <c r="CH7" i="2"/>
  <c r="CG7" i="2"/>
  <c r="CF7" i="2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EH6" i="2"/>
  <c r="EG6" i="2"/>
  <c r="EF6" i="2"/>
  <c r="EE6" i="2"/>
  <c r="ED6" i="2"/>
  <c r="EC6" i="2"/>
  <c r="EB6" i="2"/>
  <c r="EA6" i="2"/>
  <c r="DZ6" i="2"/>
  <c r="DY6" i="2"/>
  <c r="DX6" i="2"/>
  <c r="DW6" i="2"/>
  <c r="DV6" i="2"/>
  <c r="DU6" i="2"/>
  <c r="DT6" i="2"/>
  <c r="DS6" i="2"/>
  <c r="DR6" i="2"/>
  <c r="DQ6" i="2"/>
  <c r="DP6" i="2"/>
  <c r="DO6" i="2"/>
  <c r="DN6" i="2"/>
  <c r="DM6" i="2"/>
  <c r="DL6" i="2"/>
  <c r="DK6" i="2"/>
  <c r="DJ6" i="2"/>
  <c r="DI6" i="2"/>
  <c r="DH6" i="2"/>
  <c r="DG6" i="2"/>
  <c r="DF6" i="2"/>
  <c r="DE6" i="2"/>
  <c r="DD6" i="2"/>
  <c r="DC6" i="2"/>
  <c r="DB6" i="2"/>
  <c r="DA6" i="2"/>
  <c r="CZ6" i="2"/>
  <c r="CY6" i="2"/>
  <c r="CX6" i="2"/>
  <c r="CW6" i="2"/>
  <c r="CV6" i="2"/>
  <c r="CU6" i="2"/>
  <c r="CT6" i="2"/>
  <c r="CS6" i="2"/>
  <c r="CR6" i="2"/>
  <c r="CQ6" i="2"/>
  <c r="CP6" i="2"/>
  <c r="CO6" i="2"/>
  <c r="CN6" i="2"/>
  <c r="CM6" i="2"/>
  <c r="CL6" i="2"/>
  <c r="CK6" i="2"/>
  <c r="CJ6" i="2"/>
  <c r="CI6" i="2"/>
  <c r="CH6" i="2"/>
  <c r="CG6" i="2"/>
  <c r="CF6" i="2"/>
  <c r="CE6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EH5" i="2"/>
  <c r="EG5" i="2"/>
  <c r="EF5" i="2"/>
  <c r="EE5" i="2"/>
  <c r="ED5" i="2"/>
  <c r="EC5" i="2"/>
  <c r="EB5" i="2"/>
  <c r="EA5" i="2"/>
  <c r="DZ5" i="2"/>
  <c r="DY5" i="2"/>
  <c r="DX5" i="2"/>
  <c r="DW5" i="2"/>
  <c r="DV5" i="2"/>
  <c r="DU5" i="2"/>
  <c r="DT5" i="2"/>
  <c r="DS5" i="2"/>
  <c r="DR5" i="2"/>
  <c r="DQ5" i="2"/>
  <c r="DP5" i="2"/>
  <c r="DO5" i="2"/>
  <c r="DN5" i="2"/>
  <c r="DM5" i="2"/>
  <c r="DL5" i="2"/>
  <c r="DK5" i="2"/>
  <c r="DJ5" i="2"/>
  <c r="DI5" i="2"/>
  <c r="DH5" i="2"/>
  <c r="DG5" i="2"/>
  <c r="DF5" i="2"/>
  <c r="DE5" i="2"/>
  <c r="DD5" i="2"/>
  <c r="DC5" i="2"/>
  <c r="DB5" i="2"/>
  <c r="DA5" i="2"/>
  <c r="CZ5" i="2"/>
  <c r="CY5" i="2"/>
  <c r="CX5" i="2"/>
  <c r="CW5" i="2"/>
  <c r="CV5" i="2"/>
  <c r="CU5" i="2"/>
  <c r="CT5" i="2"/>
  <c r="CS5" i="2"/>
  <c r="CR5" i="2"/>
  <c r="CQ5" i="2"/>
  <c r="CP5" i="2"/>
  <c r="CO5" i="2"/>
  <c r="CN5" i="2"/>
  <c r="CM5" i="2"/>
  <c r="CL5" i="2"/>
  <c r="CK5" i="2"/>
  <c r="CJ5" i="2"/>
  <c r="CI5" i="2"/>
  <c r="CH5" i="2"/>
  <c r="CG5" i="2"/>
  <c r="CF5" i="2"/>
  <c r="CE5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H53" i="3" l="1"/>
  <c r="B53" i="3"/>
  <c r="B54" i="3"/>
  <c r="E53" i="3"/>
  <c r="F18" i="6"/>
  <c r="D22" i="6"/>
  <c r="D18" i="10"/>
  <c r="H18" i="10"/>
  <c r="D17" i="10"/>
</calcChain>
</file>

<file path=xl/sharedStrings.xml><?xml version="1.0" encoding="utf-8"?>
<sst xmlns="http://schemas.openxmlformats.org/spreadsheetml/2006/main" count="902" uniqueCount="538">
  <si>
    <t xml:space="preserve">📊  PROJETO – VEÍCULO AUTONÔMO DESVIA OBSTÁCULOS </t>
  </si>
  <si>
    <t>Nome do projeto</t>
  </si>
  <si>
    <t>Veículo Autonômo Desvia Obstáculos</t>
  </si>
  <si>
    <t>Gerente do projeto</t>
  </si>
  <si>
    <t>Professor responsável: Alexandre Aparecido Neves</t>
  </si>
  <si>
    <t>Patrocinador</t>
  </si>
  <si>
    <t>Coordenação / Direção da instituição</t>
  </si>
  <si>
    <t>Equipe técnica</t>
  </si>
  <si>
    <t>Estudantes da disciplina (grupos)</t>
  </si>
  <si>
    <t>Data de início</t>
  </si>
  <si>
    <t>15/08/2026 (Reunião de abertura)</t>
  </si>
  <si>
    <t>Data de término</t>
  </si>
  <si>
    <t>05/12/2026 (Competição)</t>
  </si>
  <si>
    <t>Duração total</t>
  </si>
  <si>
    <t>≈ 16 semanas (dias corridos)</t>
  </si>
  <si>
    <t>Metodologia</t>
  </si>
  <si>
    <t>Aprendizagem baseada em projeto + boas práticas de GP</t>
  </si>
  <si>
    <t>OBJETIVO</t>
  </si>
  <si>
    <t>Desenvolver um robô móvel autônomo capaz de percorrer um trajeto com obstáculos, detectando objetos à frente com sensor ultrassônico (podendo ser acoplado a um servomotor para varredura) e sensores infravermelhos, e tomando decisões de desvio de forma autônoma, integrando eletrônica, programação, mecânica e gestão de projetos.</t>
  </si>
  <si>
    <t>LISTA DE COMPONENTES (BOM)</t>
  </si>
  <si>
    <t>Componente</t>
  </si>
  <si>
    <t>Especificação</t>
  </si>
  <si>
    <t>Qtde</t>
  </si>
  <si>
    <t>Observação</t>
  </si>
  <si>
    <t>Placa controladora</t>
  </si>
  <si>
    <t>ESP32</t>
  </si>
  <si>
    <t>1</t>
  </si>
  <si>
    <t>Cérebro do robô</t>
  </si>
  <si>
    <t>Sensor de distância</t>
  </si>
  <si>
    <t>Ultrassônico HC-SR04</t>
  </si>
  <si>
    <t>Detecção de obstáculos à frente</t>
  </si>
  <si>
    <t>Servomotor</t>
  </si>
  <si>
    <t>SG90 ou MG90S</t>
  </si>
  <si>
    <t>Não será utilizado</t>
  </si>
  <si>
    <t>Sensor de obstáculo</t>
  </si>
  <si>
    <t>Infravermelho (IV)</t>
  </si>
  <si>
    <t>Detecção complementar/lateral</t>
  </si>
  <si>
    <t>Driver de motores</t>
  </si>
  <si>
    <t>Ponte H (L298N )</t>
  </si>
  <si>
    <t>Controle e alimentação dos motores</t>
  </si>
  <si>
    <t>Motores</t>
  </si>
  <si>
    <t>Motor DC Amarelo</t>
  </si>
  <si>
    <t>2</t>
  </si>
  <si>
    <t>Conjunto com as rodas</t>
  </si>
  <si>
    <t>Rodas</t>
  </si>
  <si>
    <t>Compatíveis com o motor escolhido</t>
  </si>
  <si>
    <t>Tração do robô</t>
  </si>
  <si>
    <t>Alimentação</t>
  </si>
  <si>
    <t>Suporte para pilhas 18650 com interruptor</t>
  </si>
  <si>
    <t>Já possui chave liga/desliga</t>
  </si>
  <si>
    <t>Pilhas</t>
  </si>
  <si>
    <t>Células 18650 recarregáveis</t>
  </si>
  <si>
    <t>Fonte de energia principal</t>
  </si>
  <si>
    <t>Conexões</t>
  </si>
  <si>
    <t>Jumpers / cabos e protoboard pequena</t>
  </si>
  <si>
    <t>1 kit</t>
  </si>
  <si>
    <t>Ligações de sinal e alimentação</t>
  </si>
  <si>
    <t>Estrutura</t>
  </si>
  <si>
    <t xml:space="preserve">Chassi em MDF </t>
  </si>
  <si>
    <t>Molde prévio em papel cartão</t>
  </si>
  <si>
    <t>Fixação</t>
  </si>
  <si>
    <t>Parafusos, espaçadores e abraçadeiras</t>
  </si>
  <si>
    <t>Montagem mecânica</t>
  </si>
  <si>
    <t>🤖  CRONOGRAMA DETALHADO — ROBÔ DESVIADOR DE OBSTÁCULOS  |  15/AGO – 05/DEZ 2026</t>
  </si>
  <si>
    <t>AGO/26</t>
  </si>
  <si>
    <t>SET/26</t>
  </si>
  <si>
    <t>OUT/26</t>
  </si>
  <si>
    <t>NOV/26</t>
  </si>
  <si>
    <t>DEZ/26</t>
  </si>
  <si>
    <t>Nº</t>
  </si>
  <si>
    <t>Descrição da Atividade</t>
  </si>
  <si>
    <t>Responsável</t>
  </si>
  <si>
    <t>Tipo</t>
  </si>
  <si>
    <t>Início</t>
  </si>
  <si>
    <t>Término</t>
  </si>
  <si>
    <t xml:space="preserve">  FASE 1 – INICIAÇÃO</t>
  </si>
  <si>
    <t>1.1</t>
  </si>
  <si>
    <t>Reunião de abertura do projeto (kickoff)</t>
  </si>
  <si>
    <t>Professor + equipe</t>
  </si>
  <si>
    <t>Previsto</t>
  </si>
  <si>
    <t>Realizado</t>
  </si>
  <si>
    <t>1.2</t>
  </si>
  <si>
    <t>Apresentação das regras da competição</t>
  </si>
  <si>
    <t>Professor</t>
  </si>
  <si>
    <t>1.3</t>
  </si>
  <si>
    <t>Formação das equipes e definição de funções</t>
  </si>
  <si>
    <t>Equipe</t>
  </si>
  <si>
    <t xml:space="preserve">  FASE 2 – ESTUDO E ESPECIFICAÇÃO</t>
  </si>
  <si>
    <t>2.1</t>
  </si>
  <si>
    <t>Pesquisa sobre robôs desviadores de obstáculos</t>
  </si>
  <si>
    <t>João Pedro</t>
  </si>
  <si>
    <t>2.2</t>
  </si>
  <si>
    <t>Estudo do Arduino, sensores e servomotor</t>
  </si>
  <si>
    <t>2.3</t>
  </si>
  <si>
    <t>Definição dos requisitos funcionais</t>
  </si>
  <si>
    <t>Renan Rocha</t>
  </si>
  <si>
    <t>2.4</t>
  </si>
  <si>
    <t>Lista de materiais (BOM)</t>
  </si>
  <si>
    <t xml:space="preserve">  FASE 3 – PROJETO DO CHASSI</t>
  </si>
  <si>
    <t>3.1</t>
  </si>
  <si>
    <t>Projeto conceitual do chassi (croqui)</t>
  </si>
  <si>
    <t>Artur Oliveira</t>
  </si>
  <si>
    <t>3.2</t>
  </si>
  <si>
    <t>Molde em papel cartão (estudo prévio)</t>
  </si>
  <si>
    <t>3.3</t>
  </si>
  <si>
    <t>Validação do molde e ajustes</t>
  </si>
  <si>
    <t>3.4</t>
  </si>
  <si>
    <t>Desenho final do chassi (para corte MDF ou acrílico)</t>
  </si>
  <si>
    <t>3.5</t>
  </si>
  <si>
    <t>Projeto do suporte do servomotor e do sensor ultrassônico (para corte MDF ou acrílico)</t>
  </si>
  <si>
    <t>3.6</t>
  </si>
  <si>
    <t>Revisão técnica do chassi</t>
  </si>
  <si>
    <t>3.7</t>
  </si>
  <si>
    <t>Preparação dos arquivos para corte</t>
  </si>
  <si>
    <t xml:space="preserve">  FASE 4 – AQUISIÇÕES</t>
  </si>
  <si>
    <t>4.1</t>
  </si>
  <si>
    <t>Cotação de componentes</t>
  </si>
  <si>
    <t>4.2</t>
  </si>
  <si>
    <t>Compra dos componentes (inclui servomotor)</t>
  </si>
  <si>
    <t>4.3</t>
  </si>
  <si>
    <t>Recebimento e conferência do material</t>
  </si>
  <si>
    <t xml:space="preserve">  FASE 5 – FABRICAÇÃO E MONTAGEM</t>
  </si>
  <si>
    <t>5.1</t>
  </si>
  <si>
    <t>Corte do chassi em MDF/acrílico</t>
  </si>
  <si>
    <t>5.2</t>
  </si>
  <si>
    <t>Conferência das peças cortadas</t>
  </si>
  <si>
    <t>5.3</t>
  </si>
  <si>
    <t>Montagem mecânica (motores, rodas)</t>
  </si>
  <si>
    <t>5.4</t>
  </si>
  <si>
    <t>Instalação do servomotor e do suporte do sensor ultrassônico</t>
  </si>
  <si>
    <t>5.5</t>
  </si>
  <si>
    <t>Montagem eletrônica (Arduino, ponte H, sensores, servo, bateria)</t>
  </si>
  <si>
    <t>5.6</t>
  </si>
  <si>
    <t>Verificação das conexões – robô montado</t>
  </si>
  <si>
    <t xml:space="preserve">  FASE 6 – PROGRAMAÇÃO BÁSICA</t>
  </si>
  <si>
    <t>6.1</t>
  </si>
  <si>
    <t>Programação dos motores (frente/trás/giro/parar)</t>
  </si>
  <si>
    <t>Matheus Gueiros</t>
  </si>
  <si>
    <t>6.2</t>
  </si>
  <si>
    <t>Controle de velocidade via PWM</t>
  </si>
  <si>
    <t>6.3</t>
  </si>
  <si>
    <t>Programação do sensor ultrassônico</t>
  </si>
  <si>
    <t>6.4</t>
  </si>
  <si>
    <t>Programação do sensor de obstáculo (infravermelho)</t>
  </si>
  <si>
    <t>6.5</t>
  </si>
  <si>
    <t>Programação do servomotor (varredura do sensor)</t>
  </si>
  <si>
    <t>6.6</t>
  </si>
  <si>
    <t>Calibração dos sensores e do servomotor</t>
  </si>
  <si>
    <t xml:space="preserve">  FASE 7 – NAVEGAÇÃO AUTÔNOMA</t>
  </si>
  <si>
    <t>7.1</t>
  </si>
  <si>
    <t>Lógica de decisão (desvio com varredura do servo)</t>
  </si>
  <si>
    <t>7.2</t>
  </si>
  <si>
    <t>Integração hardware + software</t>
  </si>
  <si>
    <t>7.3</t>
  </si>
  <si>
    <t>Teste de deslocamento em linha reta</t>
  </si>
  <si>
    <t>7.4</t>
  </si>
  <si>
    <t>Teste de desvio de obstáculos</t>
  </si>
  <si>
    <t>7.5</t>
  </si>
  <si>
    <t>Otimização do percurso</t>
  </si>
  <si>
    <t xml:space="preserve">  FASE 8 – TESTES E DOCUMENTAÇÃO</t>
  </si>
  <si>
    <t>8.1</t>
  </si>
  <si>
    <t>Teste de percurso completo</t>
  </si>
  <si>
    <t>8.2</t>
  </si>
  <si>
    <t>Ajustes finais</t>
  </si>
  <si>
    <t>8.3</t>
  </si>
  <si>
    <t>Caderno de projeto</t>
  </si>
  <si>
    <t>8.4</t>
  </si>
  <si>
    <t>Banner do projeto</t>
  </si>
  <si>
    <t>8.5</t>
  </si>
  <si>
    <t>Apresentação em PowerPoint</t>
  </si>
  <si>
    <t>8.6</t>
  </si>
  <si>
    <t>Inspeção mecânica e elétrica (checklist)</t>
  </si>
  <si>
    <t xml:space="preserve">  FASE 9 – PRÉVIA DA COMPETIÇÃO</t>
  </si>
  <si>
    <t>9.1</t>
  </si>
  <si>
    <t>Prévia da competição (ensaio geral)</t>
  </si>
  <si>
    <t>9.2</t>
  </si>
  <si>
    <t>Análise dos resultados da prévia e ajustes finais</t>
  </si>
  <si>
    <t>9.3</t>
  </si>
  <si>
    <t>Checklist final pré-competição</t>
  </si>
  <si>
    <t xml:space="preserve">  FASE 10 – COMPETIÇÃO E ENCERRAMENTO</t>
  </si>
  <si>
    <t>10.1</t>
  </si>
  <si>
    <t>Teste final na véspera da competição</t>
  </si>
  <si>
    <t>10.2</t>
  </si>
  <si>
    <t>Competição de Robôs Desviadores de Obstáculos</t>
  </si>
  <si>
    <t>10.3</t>
  </si>
  <si>
    <t>Lições aprendidas e encerramento do projeto</t>
  </si>
  <si>
    <t>LEGENDA:</t>
  </si>
  <si>
    <t xml:space="preserve">  ▪ Barra azul = período Previsto  (preencha Início e Término para pintar automaticamente)</t>
  </si>
  <si>
    <t xml:space="preserve">  ▪ Barra verde = período Realizado  (preencha Início e Término da linha "Realizado")</t>
  </si>
  <si>
    <t xml:space="preserve">  ℹ  Datas no formato DD/MM/AA. A barra é pintada em todos os dias entre o Início e o Término da atividade.</t>
  </si>
  <si>
    <t xml:space="preserve">  ▪ Marco = evento de controle  •  Entrega = entrega parcial (deliverable)</t>
  </si>
  <si>
    <t>⏱️  GESTÃO DO TEMPO — Rede de Precedências e Status</t>
  </si>
  <si>
    <t>Atividade</t>
  </si>
  <si>
    <t>Predecessoras</t>
  </si>
  <si>
    <t>Início Prev.</t>
  </si>
  <si>
    <t>Término Prev.</t>
  </si>
  <si>
    <t>Duração (dias)</t>
  </si>
  <si>
    <t>Realizado?</t>
  </si>
  <si>
    <t>Status do prazo</t>
  </si>
  <si>
    <t>—</t>
  </si>
  <si>
    <t>1.2;2.1</t>
  </si>
  <si>
    <t>2.2;2.3</t>
  </si>
  <si>
    <t>3.7;4.3</t>
  </si>
  <si>
    <t>4.3;5.4</t>
  </si>
  <si>
    <t>6.4;6.5</t>
  </si>
  <si>
    <t>6.2;6.6</t>
  </si>
  <si>
    <t>8.3;8.4;8.5;8.6</t>
  </si>
  <si>
    <t>INDICADORES</t>
  </si>
  <si>
    <t>Total de atividades</t>
  </si>
  <si>
    <t>Concluídas</t>
  </si>
  <si>
    <t>% Conclusão</t>
  </si>
  <si>
    <t>Atrasadas</t>
  </si>
  <si>
    <t>📋  PLANO DE GERENCIAMENTO DA INTEGRAÇÃO — Robô Desviador de Obstáculos</t>
  </si>
  <si>
    <t>TERMO DE ABERTURA DO PROJETO (Project Charter)</t>
  </si>
  <si>
    <t>Robô Desviador de Obstáculos com Arduino</t>
  </si>
  <si>
    <t>Patrocinador / Instituição</t>
  </si>
  <si>
    <t>Coordenação / Direção da instituição de ensino</t>
  </si>
  <si>
    <t>Professor(a) responsável – Robótica Educacional</t>
  </si>
  <si>
    <t>Objetivo</t>
  </si>
  <si>
    <t>Projetar, construir e programar um robô autônomo capaz de detectar obstáculos com sensores ultrassônico (podendo ser acoplado a um servomotor para varredura) e infravermelho, e desviar deles de forma autônoma.</t>
  </si>
  <si>
    <t>Justificativa</t>
  </si>
  <si>
    <t>Desenvolver competências de engenharia, eletrônica, programação e gestão de projetos por meio de uma competição educacional de robótica.</t>
  </si>
  <si>
    <t>Principais entregas</t>
  </si>
  <si>
    <t>Requisitos e BOM; molde do chassi; chassi fabricado; robô montado; código de navegação autônoma; caderno de projeto; banner; apresentação (entregues até 28/11); prévia da competição (28/11); competição final.</t>
  </si>
  <si>
    <t>Marco final</t>
  </si>
  <si>
    <t>Competição de Robôs Desviadores de Obstáculos — 05/12/2026 (ver aba Cronograma).</t>
  </si>
  <si>
    <t>Orçamento estimado</t>
  </si>
  <si>
    <t>Ver aba 3. Custos (consolidado automático).</t>
  </si>
  <si>
    <t>Premissas</t>
  </si>
  <si>
    <t>Projeto educacional sem fins lucrativos; uso de componentes genéricos de baixo custo; equipe formada por estudantes da disciplina; uso do servomotor é opcional, mas recomendado para ampliar o campo de varredura do sensor ultrassônico.</t>
  </si>
  <si>
    <t>Restrições</t>
  </si>
  <si>
    <t>Prazo do semestre letivo (15/08 a 05/12/2026); orçamento reduzido; disponibilidade de tempo da equipe.</t>
  </si>
  <si>
    <t>MARCOS PRINCIPAIS (vinculados ao Cronograma)</t>
  </si>
  <si>
    <t>Marco / Entrega</t>
  </si>
  <si>
    <t>Início Previsto</t>
  </si>
  <si>
    <t>Término Previsto</t>
  </si>
  <si>
    <t>CONTROLE INTEGRADO DE MUDANÇAS</t>
  </si>
  <si>
    <t>ID</t>
  </si>
  <si>
    <t>Descrição da mudança solicitada</t>
  </si>
  <si>
    <t>Impacto (prazo/custo)</t>
  </si>
  <si>
    <t>Status</t>
  </si>
  <si>
    <t>MC-01</t>
  </si>
  <si>
    <t>MC-02</t>
  </si>
  <si>
    <t>MC-03</t>
  </si>
  <si>
    <t>MC-04</t>
  </si>
  <si>
    <t>🎯  PLANO DE GERENCIAMENTO DO ESCOPO — EAP / WBS</t>
  </si>
  <si>
    <t>EAP</t>
  </si>
  <si>
    <t>Pacote de Trabalho / Atividade</t>
  </si>
  <si>
    <t>Entrega (critério de aceite)</t>
  </si>
  <si>
    <t>FASE 1 – INICIAÇÃO</t>
  </si>
  <si>
    <t>Reunião registrada em ata</t>
  </si>
  <si>
    <t>Entrega concluída e validada pela equipe</t>
  </si>
  <si>
    <t>FASE 2 – ESTUDO E ESPECIFICAÇÃO</t>
  </si>
  <si>
    <t>Requisitos aprovados pelo professor</t>
  </si>
  <si>
    <t>BOM revisada e aprovada</t>
  </si>
  <si>
    <t>3</t>
  </si>
  <si>
    <t>FASE 3 – PROJETO DO CHASSI</t>
  </si>
  <si>
    <t>Molde em papel cartão validado</t>
  </si>
  <si>
    <t>Desenho do chassi aprovado</t>
  </si>
  <si>
    <t>4</t>
  </si>
  <si>
    <t>FASE 4 – AQUISIÇÕES</t>
  </si>
  <si>
    <t>Material conferido e validado</t>
  </si>
  <si>
    <t>5</t>
  </si>
  <si>
    <t>FASE 5 – FABRICAÇÃO E MONTAGEM</t>
  </si>
  <si>
    <t>Peças cortadas conforme desenho</t>
  </si>
  <si>
    <t>Robô montado e verificado</t>
  </si>
  <si>
    <t>6</t>
  </si>
  <si>
    <t>FASE 6 – PROGRAMAÇÃO BÁSICA</t>
  </si>
  <si>
    <t>Sensores e servomotor calibrados e funcionais</t>
  </si>
  <si>
    <t>7</t>
  </si>
  <si>
    <t>FASE 7 – NAVEGAÇÃO AUTÔNOMA</t>
  </si>
  <si>
    <t>Código integrado no Arduino</t>
  </si>
  <si>
    <t>8</t>
  </si>
  <si>
    <t>FASE 8 – TESTES E DOCUMENTAÇÃO</t>
  </si>
  <si>
    <t>Caderno de projeto entregue até 28/11</t>
  </si>
  <si>
    <t>Banner finalizado até 28/11</t>
  </si>
  <si>
    <t>Apresentação concluída até 28/11</t>
  </si>
  <si>
    <t>Checklist de inspeção aprovado</t>
  </si>
  <si>
    <t>9</t>
  </si>
  <si>
    <t>FASE 9 – PRÉVIA DA COMPETIÇÃO</t>
  </si>
  <si>
    <t>Prévia da competição realizada em 28/11</t>
  </si>
  <si>
    <t>10</t>
  </si>
  <si>
    <t>FASE 10 – COMPETIÇÃO E ENCERRAMENTO</t>
  </si>
  <si>
    <t>Robô participa da competição final</t>
  </si>
  <si>
    <t>Encerramento e lições aprendidas registradas</t>
  </si>
  <si>
    <t>FORA DO ESCOPO (exclusões)</t>
  </si>
  <si>
    <t>• Desenvolvimento de controle remoto ou aplicativo para celular.</t>
  </si>
  <si>
    <t>• Fabricação de placa de circuito impresso (PCB) dedicada.</t>
  </si>
  <si>
    <t>• Premiação em dinheiro (competição educacional sem fins lucrativos).</t>
  </si>
  <si>
    <t>💰  PLANO DE GERENCIAMENTO DOS CUSTOS (BRL)</t>
  </si>
  <si>
    <t>Item de custo / Componente</t>
  </si>
  <si>
    <t>Categoria</t>
  </si>
  <si>
    <t>Custo Previsto (R$)</t>
  </si>
  <si>
    <t>Custo Real (R$)</t>
  </si>
  <si>
    <t>Variação (R$)</t>
  </si>
  <si>
    <t>ESP 32</t>
  </si>
  <si>
    <t>Controladora</t>
  </si>
  <si>
    <t>Sensor ultrassônico HC-SR04</t>
  </si>
  <si>
    <t>Sensor</t>
  </si>
  <si>
    <t>Servomotor (SG90 ou MG90S)</t>
  </si>
  <si>
    <t>Atuador</t>
  </si>
  <si>
    <t>Sensores de obstáculo infravermelho (2 un.)</t>
  </si>
  <si>
    <t>Ponte H (driver de motores) L298N</t>
  </si>
  <si>
    <t>Acionamento</t>
  </si>
  <si>
    <t>Motores c/ redução + rodas (par)</t>
  </si>
  <si>
    <t>Mecânica</t>
  </si>
  <si>
    <t>Pilhas 18650 (par) + carregador</t>
  </si>
  <si>
    <t>Jumpers, cabos e protoboard</t>
  </si>
  <si>
    <t>Chapa de MDF / acrílico para o chassi</t>
  </si>
  <si>
    <t>Parafusos, espaçadores e fixação</t>
  </si>
  <si>
    <t>Papel cartão e material do molde</t>
  </si>
  <si>
    <t>Material de impressão (banner)</t>
  </si>
  <si>
    <t>Documentação</t>
  </si>
  <si>
    <t>TOTAL / ORÇAMENTO (Baseline)</t>
  </si>
  <si>
    <t>RESERVAS</t>
  </si>
  <si>
    <t>Reserva de contingência (10% do orçamento)</t>
  </si>
  <si>
    <t>Orçamento total com reserva</t>
  </si>
  <si>
    <t>✅  PLANO DE GERENCIAMENTO DA QUALIDADE</t>
  </si>
  <si>
    <t>Entrega vinculada</t>
  </si>
  <si>
    <t>Critério / Métrica de qualidade</t>
  </si>
  <si>
    <t>Meta</t>
  </si>
  <si>
    <t>Método de verificação</t>
  </si>
  <si>
    <t>Q1</t>
  </si>
  <si>
    <t>Caderno de projeto completo e sem erros</t>
  </si>
  <si>
    <t>100% revisado, entregue até 28/11</t>
  </si>
  <si>
    <t>Revisão do professor</t>
  </si>
  <si>
    <t>Q2</t>
  </si>
  <si>
    <t>Chassi conforme o molde aprovado</t>
  </si>
  <si>
    <t>Tolerância ±5 mm</t>
  </si>
  <si>
    <t>Inspeção dimensional</t>
  </si>
  <si>
    <t>Q3</t>
  </si>
  <si>
    <t>Robô montado sem falhas de conexão</t>
  </si>
  <si>
    <t>0 defeitos críticos</t>
  </si>
  <si>
    <t>Checklist de montagem</t>
  </si>
  <si>
    <t>Q4</t>
  </si>
  <si>
    <t>Sensores e servomotor calibrados e estáveis</t>
  </si>
  <si>
    <t>Erro ≤ ±2 cm (ultrassom)</t>
  </si>
  <si>
    <t>Teste de bancada</t>
  </si>
  <si>
    <t>Q5</t>
  </si>
  <si>
    <t>Desvio de obstáculos funcional</t>
  </si>
  <si>
    <t>Acerto ≥ 90%</t>
  </si>
  <si>
    <t>Teste de percurso</t>
  </si>
  <si>
    <t>Q6</t>
  </si>
  <si>
    <t>Percurso otimizado</t>
  </si>
  <si>
    <t>Redução de tempo a cada rodada</t>
  </si>
  <si>
    <t>Registro de testes</t>
  </si>
  <si>
    <t>Q7</t>
  </si>
  <si>
    <t>Robô aprovado na prévia da competição</t>
  </si>
  <si>
    <t>0 colisões, robô 100% operacional</t>
  </si>
  <si>
    <t>Ensaio geral (28/11)</t>
  </si>
  <si>
    <t>Q8</t>
  </si>
  <si>
    <t>Robô aprovado na inspeção final</t>
  </si>
  <si>
    <t>Checklist 100% concluído</t>
  </si>
  <si>
    <t>Inspeção mecânica e elétrica</t>
  </si>
  <si>
    <t>👥  PLANO DE GERENCIAMENTO DOS RECURSOS</t>
  </si>
  <si>
    <t>Recurso / Pessoa</t>
  </si>
  <si>
    <t>Papel no projeto</t>
  </si>
  <si>
    <t>Nº de atividades alocadas</t>
  </si>
  <si>
    <t>Período de atuação</t>
  </si>
  <si>
    <t>Professor(a) orientador(a)</t>
  </si>
  <si>
    <t>Gestão do projeto, gates de revisão e avaliação</t>
  </si>
  <si>
    <t>Ago–Nov/2026</t>
  </si>
  <si>
    <t>Orientador</t>
  </si>
  <si>
    <t>Equipe de Engenharia Mecânica</t>
  </si>
  <si>
    <t>Chassi, CAD, corte, montagem, rodas e motores</t>
  </si>
  <si>
    <t>Estudante</t>
  </si>
  <si>
    <t>Equipe de Eletrônica</t>
  </si>
  <si>
    <t>Arduino, driver, alimentação, sensores e conexões</t>
  </si>
  <si>
    <t>Equipe de Programação</t>
  </si>
  <si>
    <t>Código, controle de motores e leitura de sensores</t>
  </si>
  <si>
    <t>Equipe de Estratégia e Testes</t>
  </si>
  <si>
    <t>Análise de percurso, medição de tempo e otimização</t>
  </si>
  <si>
    <t>Equipe de Gestão</t>
  </si>
  <si>
    <t>Cronograma, documentação, custos e riscos</t>
  </si>
  <si>
    <t>RECURSOS MATERIAIS / EQUIPAMENTOS</t>
  </si>
  <si>
    <t>Item</t>
  </si>
  <si>
    <t>Vinculado à atividade</t>
  </si>
  <si>
    <t>Quantidade</t>
  </si>
  <si>
    <t>Fornecedor / Origem</t>
  </si>
  <si>
    <t>Arduino Uno R3</t>
  </si>
  <si>
    <t>Compra</t>
  </si>
  <si>
    <t>Sensor HC-SR04</t>
  </si>
  <si>
    <t>Servomotor SG90/MG90S</t>
  </si>
  <si>
    <t>não será utilizado</t>
  </si>
  <si>
    <t>Sensores IV de obstáculo</t>
  </si>
  <si>
    <t>Ponte H</t>
  </si>
  <si>
    <t>Motores + rodas</t>
  </si>
  <si>
    <t>Pilhas 18650 + suporte</t>
  </si>
  <si>
    <t>Chassi MDF / acrílico</t>
  </si>
  <si>
    <t>Produção própria</t>
  </si>
  <si>
    <t>Ferramentas e bancada</t>
  </si>
  <si>
    <t>Laboratório</t>
  </si>
  <si>
    <t>📣  PLANO DE GERENCIAMENTO DAS COMUNICAÇÕES</t>
  </si>
  <si>
    <t>Informação / Relatório</t>
  </si>
  <si>
    <t>Público-alvo</t>
  </si>
  <si>
    <t>Frequência</t>
  </si>
  <si>
    <t>Canal</t>
  </si>
  <si>
    <t>Formato</t>
  </si>
  <si>
    <t>Status do projeto</t>
  </si>
  <si>
    <t>Equipe e professor(a)</t>
  </si>
  <si>
    <t>Gestão</t>
  </si>
  <si>
    <t>Semanal</t>
  </si>
  <si>
    <t>Reunião</t>
  </si>
  <si>
    <t>Relatório / Apresentação</t>
  </si>
  <si>
    <t>Dúvidas e apoio técnico</t>
  </si>
  <si>
    <t>Equipes técnicas</t>
  </si>
  <si>
    <t>Cada equipe</t>
  </si>
  <si>
    <t>Contínua</t>
  </si>
  <si>
    <t>Grupo de mensagens</t>
  </si>
  <si>
    <t>Mensagem</t>
  </si>
  <si>
    <t>Aprovação de gates (marcos)</t>
  </si>
  <si>
    <t>Professor(a)</t>
  </si>
  <si>
    <t>Por gate</t>
  </si>
  <si>
    <t>Ata</t>
  </si>
  <si>
    <t>Documentação do projeto</t>
  </si>
  <si>
    <t>Turma / Professor(a)</t>
  </si>
  <si>
    <t>Mensal</t>
  </si>
  <si>
    <t>Caderno / Drive</t>
  </si>
  <si>
    <t>Documento</t>
  </si>
  <si>
    <t>Resultados de testes</t>
  </si>
  <si>
    <t>Por teste</t>
  </si>
  <si>
    <t>Planilha de testes</t>
  </si>
  <si>
    <t>Registro de dados</t>
  </si>
  <si>
    <t>Apresentação final</t>
  </si>
  <si>
    <t>Turma e banca</t>
  </si>
  <si>
    <t>Fim do projeto</t>
  </si>
  <si>
    <t>Sala / Slides</t>
  </si>
  <si>
    <t>Apresentação</t>
  </si>
  <si>
    <t>Comunicação de mudanças</t>
  </si>
  <si>
    <t>Quando houver</t>
  </si>
  <si>
    <t>Mensagem / Reunião</t>
  </si>
  <si>
    <t>Memorando</t>
  </si>
  <si>
    <t>⚠️  GESTÃO DOS RISCOS — Identificação, Avaliação e Mitigação</t>
  </si>
  <si>
    <t>Risco identificado</t>
  </si>
  <si>
    <t>Prob. (1-5)</t>
  </si>
  <si>
    <t>Impacto (1-5)</t>
  </si>
  <si>
    <t>Nível (P×I)</t>
  </si>
  <si>
    <t>Resposta</t>
  </si>
  <si>
    <t>Ação de mitigação / contingência</t>
  </si>
  <si>
    <t>R01</t>
  </si>
  <si>
    <t>Atraso na entrega dos componentes</t>
  </si>
  <si>
    <t>Aquisições</t>
  </si>
  <si>
    <t>Mitigar</t>
  </si>
  <si>
    <t>Comprar com antecedência; manter fornecedor reserva; antecipar a cotação (atv. 4.1).</t>
  </si>
  <si>
    <t>R02</t>
  </si>
  <si>
    <t>Chassi frágil ou mal dimensionado</t>
  </si>
  <si>
    <t>Projeto</t>
  </si>
  <si>
    <t>Validar o molde em papel cartão antes de cortar o MDF/acrílico (atv. 3.2 e 3.3).</t>
  </si>
  <si>
    <t>R03</t>
  </si>
  <si>
    <t>Leituras falsas do sensor ultrassônico</t>
  </si>
  <si>
    <t>Técnico</t>
  </si>
  <si>
    <t>Filtragem por média de leituras; calibração cuidadosa (atv. 6.6).</t>
  </si>
  <si>
    <t>R04</t>
  </si>
  <si>
    <t>Servomotor incompatível ou com jitter (tremor)</t>
  </si>
  <si>
    <t>Teste preliminar do servo isolado antes da instalação; usar biblioteca Servo.h padrão.</t>
  </si>
  <si>
    <t>R05</t>
  </si>
  <si>
    <t>Bateria 18650 descarregando rapidamente</t>
  </si>
  <si>
    <t>Operacional</t>
  </si>
  <si>
    <t>Teste de autonomia antes da competição; ter par reserva carregado.</t>
  </si>
  <si>
    <t>R06</t>
  </si>
  <si>
    <t>Diferença de desempenho entre os motores</t>
  </si>
  <si>
    <t>Calibração via PWM; testar os dois motores antes da montagem final.</t>
  </si>
  <si>
    <t>R07</t>
  </si>
  <si>
    <t>Código travando durante o percurso</t>
  </si>
  <si>
    <t>Estruturar a lógica como máquina de estados; testar por partes; versionar o código.</t>
  </si>
  <si>
    <t>R08</t>
  </si>
  <si>
    <t>Cabos desconectando durante o teste</t>
  </si>
  <si>
    <t>Uso de abraçadeiras e conectores firmes; checklist pré-teste.</t>
  </si>
  <si>
    <t>R09</t>
  </si>
  <si>
    <t>Parafusos ou peças soltas no dia da competição</t>
  </si>
  <si>
    <t>Checklist pré-competição (atv. 8.6, 9.3); revisão mecânica final.</t>
  </si>
  <si>
    <t>R10</t>
  </si>
  <si>
    <t>Falta de tempo da equipe</t>
  </si>
  <si>
    <t>Recursos</t>
  </si>
  <si>
    <t>Cronograma com folgas; acompanhar status na aba Tempo; dividir tarefas.</t>
  </si>
  <si>
    <t>MATRIZ DE EXPOSIÇÃO (resumo)</t>
  </si>
  <si>
    <t>Riscos críticos (P×I ≥ 15)</t>
  </si>
  <si>
    <t>Riscos médios (8–14)</t>
  </si>
  <si>
    <t>Riscos baixos (≤ 7)</t>
  </si>
  <si>
    <t>Exposição total (Σ P×I)</t>
  </si>
  <si>
    <t>🛒  PLANO DE GERENCIAMENTO DAS AQUISIÇÕES</t>
  </si>
  <si>
    <t>Item / Serviço a adquirir</t>
  </si>
  <si>
    <t>Atividade vinculada</t>
  </si>
  <si>
    <t>Tipo de contrato</t>
  </si>
  <si>
    <t>Custo Prev. (R$)</t>
  </si>
  <si>
    <t>Fornecedor</t>
  </si>
  <si>
    <t>A1</t>
  </si>
  <si>
    <t>shopee</t>
  </si>
  <si>
    <t>A2</t>
  </si>
  <si>
    <t>A3</t>
  </si>
  <si>
    <t>A4</t>
  </si>
  <si>
    <t>A5</t>
  </si>
  <si>
    <t>A6</t>
  </si>
  <si>
    <t>A7</t>
  </si>
  <si>
    <t>A8</t>
  </si>
  <si>
    <t>Chapa MDF / acrílico</t>
  </si>
  <si>
    <t>Compra/Serviço</t>
  </si>
  <si>
    <t>A9</t>
  </si>
  <si>
    <t>Impressão do banner</t>
  </si>
  <si>
    <t>Serviço</t>
  </si>
  <si>
    <t>🤝  REGISTRO E ENGAJAMENTO DE STAKEHOLDERS</t>
  </si>
  <si>
    <t>Stakeholder</t>
  </si>
  <si>
    <t>Papel / Interesse</t>
  </si>
  <si>
    <t>Poder (1-5)</t>
  </si>
  <si>
    <t>Interesse (1-5)</t>
  </si>
  <si>
    <t>Classificação</t>
  </si>
  <si>
    <t>Estratégia de engajamento</t>
  </si>
  <si>
    <t>S1</t>
  </si>
  <si>
    <t>Orienta, avalia e aprova os gates do projeto</t>
  </si>
  <si>
    <t>Gerenciar de perto</t>
  </si>
  <si>
    <t>Reuniões periódicas; aprovação dos gates de revisão.</t>
  </si>
  <si>
    <t>S2</t>
  </si>
  <si>
    <t>Coordenação / Direção</t>
  </si>
  <si>
    <t>Apoio institucional</t>
  </si>
  <si>
    <t>Manter satisfeito</t>
  </si>
  <si>
    <t>Relatórios de progresso; alinhamento.</t>
  </si>
  <si>
    <t>S3</t>
  </si>
  <si>
    <t>Equipe do projeto (5 subequipes)</t>
  </si>
  <si>
    <t>Execução técnica do robô</t>
  </si>
  <si>
    <t>Reunião de alinhamento; matriz de responsáveis por equipe.</t>
  </si>
  <si>
    <t>S4</t>
  </si>
  <si>
    <t>Turma / colegas</t>
  </si>
  <si>
    <t>Audiência da apresentação e da competição</t>
  </si>
  <si>
    <t>Manter informado</t>
  </si>
  <si>
    <t>Demonstração, apresentação final e competição.</t>
  </si>
  <si>
    <t>S5</t>
  </si>
  <si>
    <t>Outras equipes competidoras</t>
  </si>
  <si>
    <t>Comparação de desempenho no percurso</t>
  </si>
  <si>
    <t>Combinação de regras e testes de percurso conjuntos.</t>
  </si>
  <si>
    <t>S6</t>
  </si>
  <si>
    <t>Fornecedores</t>
  </si>
  <si>
    <t>Componentes e materiais</t>
  </si>
  <si>
    <t>Monitorar</t>
  </si>
  <si>
    <t>Cotação e acompanhamento de prazos de entrega.</t>
  </si>
  <si>
    <t>S7</t>
  </si>
  <si>
    <t>Família / responsáveis</t>
  </si>
  <si>
    <t>Apoio externo</t>
  </si>
  <si>
    <t>Comunicação eventual de resultados.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</si>
</sst>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"/>
    <numFmt numFmtId="165" formatCode="dd/mm/yy"/>
    <numFmt numFmtId="166" formatCode="&quot;R$ &quot;#,##0.00"/>
    <numFmt numFmtId="167" formatCode="&quot;R$ &quot;#,##0.00;[Red]&quot;-R$ &quot;#,##0.00"/>
  </numFmts>
  <fonts count="33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b/>
      <sz val="9"/>
      <color rgb="FF1A1A1A"/>
      <name val="Arial"/>
      <family val="2"/>
    </font>
    <font>
      <sz val="9"/>
      <color rgb="FF1A1A1A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13"/>
      <color rgb="FFFFFFFF"/>
      <name val="Arial"/>
      <family val="2"/>
    </font>
    <font>
      <b/>
      <sz val="7"/>
      <color rgb="FFFFFFFF"/>
      <name val="Arial"/>
      <family val="2"/>
    </font>
    <font>
      <b/>
      <sz val="9"/>
      <color rgb="FF1F3864"/>
      <name val="Arial"/>
      <family val="2"/>
    </font>
    <font>
      <b/>
      <sz val="8"/>
      <color rgb="FFFFFFFF"/>
      <name val="Arial"/>
      <family val="2"/>
    </font>
    <font>
      <sz val="1"/>
      <color rgb="FF000099"/>
      <name val="Arial"/>
      <family val="2"/>
    </font>
    <font>
      <sz val="1"/>
      <color rgb="FF006600"/>
      <name val="Arial"/>
      <family val="2"/>
    </font>
    <font>
      <b/>
      <sz val="8"/>
      <color rgb="FF000099"/>
      <name val="Arial"/>
      <family val="2"/>
    </font>
    <font>
      <b/>
      <sz val="8"/>
      <color rgb="FF006600"/>
      <name val="Arial"/>
      <family val="2"/>
    </font>
    <font>
      <sz val="8"/>
      <color rgb="FF1A1A1A"/>
      <name val="Arial"/>
      <family val="2"/>
    </font>
    <font>
      <b/>
      <sz val="8"/>
      <color rgb="FF1F3864"/>
      <name val="Arial"/>
      <family val="2"/>
    </font>
    <font>
      <b/>
      <sz val="10"/>
      <color rgb="FF1F3864"/>
      <name val="Arial"/>
      <family val="2"/>
    </font>
    <font>
      <b/>
      <sz val="10"/>
      <color rgb="FF34495E"/>
      <name val="Arial"/>
      <family val="2"/>
    </font>
    <font>
      <b/>
      <sz val="9"/>
      <color rgb="FF006600"/>
      <name val="Arial"/>
      <family val="2"/>
    </font>
    <font>
      <sz val="9"/>
      <color rgb="FF006600"/>
      <name val="Arial"/>
      <family val="2"/>
    </font>
    <font>
      <b/>
      <sz val="9"/>
      <color rgb="FF2E86C1"/>
      <name val="Arial"/>
      <family val="2"/>
    </font>
    <font>
      <b/>
      <sz val="10"/>
      <color rgb="FF2E86C1"/>
      <name val="Arial"/>
      <family val="2"/>
    </font>
    <font>
      <b/>
      <sz val="9"/>
      <color rgb="FF229954"/>
      <name val="Arial"/>
      <family val="2"/>
    </font>
    <font>
      <sz val="9"/>
      <color rgb="FF0000FF"/>
      <name val="Arial"/>
      <family val="2"/>
    </font>
    <font>
      <b/>
      <sz val="10"/>
      <color rgb="FF229954"/>
      <name val="Arial"/>
      <family val="2"/>
    </font>
    <font>
      <b/>
      <sz val="9"/>
      <color rgb="FF884EA0"/>
      <name val="Arial"/>
      <family val="2"/>
    </font>
    <font>
      <sz val="8"/>
      <color rgb="FF006600"/>
      <name val="Arial"/>
      <family val="2"/>
    </font>
    <font>
      <b/>
      <sz val="9"/>
      <color rgb="FFD68910"/>
      <name val="Arial"/>
      <family val="2"/>
    </font>
    <font>
      <b/>
      <sz val="10"/>
      <color rgb="FFD68910"/>
      <name val="Arial"/>
      <family val="2"/>
    </font>
    <font>
      <b/>
      <sz val="10"/>
      <color rgb="FFC0392B"/>
      <name val="Arial"/>
      <family val="2"/>
    </font>
    <font>
      <b/>
      <sz val="9"/>
      <color rgb="FFAF601A"/>
      <name val="Arial"/>
      <family val="2"/>
    </font>
    <font>
      <b/>
      <sz val="9"/>
      <color rgb="FF117A65"/>
      <name val="Arial"/>
      <family val="2"/>
    </font>
    <font>
      <sz val="11"/>
      <color rgb="FF000000"/>
      <name val="Calibri"/>
      <family val="2"/>
      <charset val="1"/>
    </font>
  </fonts>
  <fills count="21">
    <fill>
      <patternFill patternType="none"/>
    </fill>
    <fill>
      <patternFill patternType="gray125"/>
    </fill>
    <fill>
      <patternFill patternType="solid">
        <fgColor rgb="FF34495E"/>
        <bgColor rgb="FF1F3864"/>
      </patternFill>
    </fill>
    <fill>
      <patternFill patternType="solid">
        <fgColor rgb="FFEAECEE"/>
        <bgColor rgb="FFE8F1FA"/>
      </patternFill>
    </fill>
    <fill>
      <patternFill patternType="solid">
        <fgColor rgb="FF2F5496"/>
        <bgColor rgb="FF34495E"/>
      </patternFill>
    </fill>
    <fill>
      <patternFill patternType="solid">
        <fgColor rgb="FF4472C4"/>
        <bgColor rgb="FF2E75B6"/>
      </patternFill>
    </fill>
    <fill>
      <patternFill patternType="solid">
        <fgColor rgb="FFD6E4F7"/>
        <bgColor rgb="FFD4EFDF"/>
      </patternFill>
    </fill>
    <fill>
      <patternFill patternType="solid">
        <fgColor rgb="FF2E75B6"/>
        <bgColor rgb="FF2874A6"/>
      </patternFill>
    </fill>
    <fill>
      <patternFill patternType="solid">
        <fgColor rgb="FF70AD47"/>
        <bgColor rgb="FF99CC00"/>
      </patternFill>
    </fill>
    <fill>
      <patternFill patternType="solid">
        <fgColor rgb="FF2E86C1"/>
        <bgColor rgb="FF2E75B6"/>
      </patternFill>
    </fill>
    <fill>
      <patternFill patternType="solid">
        <fgColor rgb="FFE8F1FA"/>
        <bgColor rgb="FFEAECEE"/>
      </patternFill>
    </fill>
    <fill>
      <patternFill patternType="solid">
        <fgColor rgb="FF229954"/>
        <bgColor rgb="FF27AE60"/>
      </patternFill>
    </fill>
    <fill>
      <patternFill patternType="solid">
        <fgColor rgb="FFE9F7EF"/>
        <bgColor rgb="FFE8F1FA"/>
      </patternFill>
    </fill>
    <fill>
      <patternFill patternType="solid">
        <fgColor rgb="FF884EA0"/>
        <bgColor rgb="FF993366"/>
      </patternFill>
    </fill>
    <fill>
      <patternFill patternType="solid">
        <fgColor rgb="FFD68910"/>
        <bgColor rgb="FFF39C12"/>
      </patternFill>
    </fill>
    <fill>
      <patternFill patternType="solid">
        <fgColor rgb="FFFBF3E2"/>
        <bgColor rgb="FFFBEAE8"/>
      </patternFill>
    </fill>
    <fill>
      <patternFill patternType="solid">
        <fgColor rgb="FF2874A6"/>
        <bgColor rgb="FF2E75B6"/>
      </patternFill>
    </fill>
    <fill>
      <patternFill patternType="solid">
        <fgColor rgb="FFC0392B"/>
        <bgColor rgb="FFE74C3C"/>
      </patternFill>
    </fill>
    <fill>
      <patternFill patternType="solid">
        <fgColor rgb="FFFBEAE8"/>
        <bgColor rgb="FFFBF3E2"/>
      </patternFill>
    </fill>
    <fill>
      <patternFill patternType="solid">
        <fgColor rgb="FFAF601A"/>
        <bgColor rgb="FFC0392B"/>
      </patternFill>
    </fill>
    <fill>
      <patternFill patternType="solid">
        <fgColor rgb="FF117A65"/>
        <bgColor rgb="FF2874A6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8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164" fontId="7" fillId="5" borderId="0" xfId="0" applyNumberFormat="1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3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left" vertical="center" wrapText="1"/>
    </xf>
    <xf numFmtId="165" fontId="19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166" fontId="23" fillId="0" borderId="1" xfId="0" applyNumberFormat="1" applyFont="1" applyBorder="1" applyAlignment="1">
      <alignment horizontal="center" vertical="center" wrapText="1"/>
    </xf>
    <xf numFmtId="167" fontId="3" fillId="0" borderId="1" xfId="0" applyNumberFormat="1" applyFont="1" applyBorder="1" applyAlignment="1">
      <alignment horizontal="center" vertical="center" wrapText="1"/>
    </xf>
    <xf numFmtId="166" fontId="5" fillId="11" borderId="1" xfId="0" applyNumberFormat="1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left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left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/>
    </xf>
    <xf numFmtId="166" fontId="19" fillId="0" borderId="1" xfId="0" applyNumberFormat="1" applyFont="1" applyBorder="1" applyAlignment="1">
      <alignment horizontal="center" vertical="center" wrapText="1"/>
    </xf>
    <xf numFmtId="0" fontId="5" fillId="20" borderId="1" xfId="0" applyFont="1" applyFill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9" fontId="3" fillId="0" borderId="1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center" wrapText="1"/>
    </xf>
    <xf numFmtId="0" fontId="32" fillId="0" borderId="3" xfId="0" applyFont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left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16" fillId="6" borderId="0" xfId="0" applyFont="1" applyFill="1" applyAlignment="1">
      <alignment horizontal="left" vertical="center"/>
    </xf>
    <xf numFmtId="0" fontId="17" fillId="3" borderId="0" xfId="0" applyFont="1" applyFill="1" applyAlignment="1">
      <alignment horizontal="left" vertical="center"/>
    </xf>
    <xf numFmtId="0" fontId="3" fillId="0" borderId="2" xfId="0" applyFont="1" applyBorder="1" applyAlignment="1">
      <alignment horizontal="left" vertical="center" wrapText="1"/>
    </xf>
    <xf numFmtId="0" fontId="5" fillId="9" borderId="2" xfId="0" applyFont="1" applyFill="1" applyBorder="1" applyAlignment="1">
      <alignment horizontal="left" vertical="center" wrapText="1"/>
    </xf>
    <xf numFmtId="0" fontId="21" fillId="10" borderId="0" xfId="0" applyFont="1" applyFill="1" applyAlignment="1">
      <alignment horizontal="left" vertical="center"/>
    </xf>
    <xf numFmtId="166" fontId="2" fillId="12" borderId="2" xfId="0" applyNumberFormat="1" applyFont="1" applyFill="1" applyBorder="1" applyAlignment="1">
      <alignment horizontal="center" vertical="center" wrapText="1"/>
    </xf>
    <xf numFmtId="0" fontId="5" fillId="11" borderId="2" xfId="0" applyFont="1" applyFill="1" applyBorder="1" applyAlignment="1">
      <alignment horizontal="left" vertical="center" wrapText="1"/>
    </xf>
    <xf numFmtId="0" fontId="24" fillId="12" borderId="0" xfId="0" applyFont="1" applyFill="1" applyAlignment="1">
      <alignment horizontal="left" vertical="center"/>
    </xf>
    <xf numFmtId="166" fontId="3" fillId="0" borderId="2" xfId="0" applyNumberFormat="1" applyFont="1" applyBorder="1" applyAlignment="1">
      <alignment horizontal="center" vertical="center" wrapText="1"/>
    </xf>
    <xf numFmtId="0" fontId="28" fillId="15" borderId="0" xfId="0" applyFont="1" applyFill="1" applyAlignment="1">
      <alignment horizontal="left" vertical="center"/>
    </xf>
    <xf numFmtId="0" fontId="29" fillId="18" borderId="0" xfId="0" applyFont="1" applyFill="1" applyAlignment="1">
      <alignment horizontal="left" vertical="center"/>
    </xf>
    <xf numFmtId="0" fontId="0" fillId="3" borderId="0" xfId="0" applyFill="1" applyAlignment="1"/>
  </cellXfs>
  <cellStyles count="1">
    <cellStyle name="Normal" xfId="0" builtinId="0"/>
  </cellStyles>
  <dxfs count="105">
    <dxf>
      <fill>
        <patternFill>
          <bgColor rgb="FFD6E4F7"/>
        </patternFill>
      </fill>
    </dxf>
    <dxf>
      <fill>
        <patternFill>
          <bgColor rgb="FFFCE2C4"/>
        </patternFill>
      </fill>
    </dxf>
    <dxf>
      <fill>
        <patternFill>
          <bgColor rgb="FFF5B7B1"/>
        </patternFill>
      </fill>
    </dxf>
    <dxf>
      <fill>
        <patternFill>
          <bgColor rgb="FFD4EFDF"/>
        </patternFill>
      </fill>
    </dxf>
    <dxf>
      <fill>
        <patternFill>
          <bgColor rgb="FFABEBC6"/>
        </patternFill>
      </fill>
    </dxf>
    <dxf>
      <fill>
        <patternFill>
          <bgColor rgb="FF27AE60"/>
        </patternFill>
      </fill>
    </dxf>
    <dxf>
      <fill>
        <patternFill>
          <bgColor rgb="FFF39C12"/>
        </patternFill>
      </fill>
    </dxf>
    <dxf>
      <fill>
        <patternFill>
          <bgColor rgb="FFE74C3C"/>
        </patternFill>
      </fill>
    </dxf>
    <dxf>
      <fill>
        <patternFill>
          <bgColor rgb="FFF5B7B1"/>
        </patternFill>
      </fill>
    </dxf>
    <dxf>
      <fill>
        <patternFill>
          <bgColor rgb="FFABEBC6"/>
        </patternFill>
      </fill>
    </dxf>
    <dxf>
      <fill>
        <patternFill>
          <bgColor rgb="FFD4EFDF"/>
        </patternFill>
      </fill>
    </dxf>
    <dxf>
      <fill>
        <patternFill>
          <bgColor rgb="FFABEBC6"/>
        </patternFill>
      </fill>
    </dxf>
    <dxf>
      <fill>
        <patternFill>
          <bgColor rgb="FFF5B7B1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  <dxf>
      <fill>
        <patternFill>
          <bgColor rgb="FF006600"/>
        </patternFill>
      </fill>
    </dxf>
    <dxf>
      <fill>
        <patternFill>
          <bgColor rgb="FF0000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99"/>
      <rgbColor rgb="FFAF601A"/>
      <rgbColor rgb="FF800080"/>
      <rgbColor rgb="FF117A65"/>
      <rgbColor rgb="FFD6E4F7"/>
      <rgbColor rgb="FF2E86C1"/>
      <rgbColor rgb="FF9999FF"/>
      <rgbColor rgb="FF993366"/>
      <rgbColor rgb="FFFBF3E2"/>
      <rgbColor rgb="FFE9F7EF"/>
      <rgbColor rgb="FF660066"/>
      <rgbColor rgb="FFD68910"/>
      <rgbColor rgb="FF2E75B6"/>
      <rgbColor rgb="FFD9D9D9"/>
      <rgbColor rgb="FF000080"/>
      <rgbColor rgb="FFFF00FF"/>
      <rgbColor rgb="FFFFFF00"/>
      <rgbColor rgb="FF00FFFF"/>
      <rgbColor rgb="FF800080"/>
      <rgbColor rgb="FF800000"/>
      <rgbColor rgb="FF2874A6"/>
      <rgbColor rgb="FF0000FF"/>
      <rgbColor rgb="FF00CCFF"/>
      <rgbColor rgb="FFE8F1FA"/>
      <rgbColor rgb="FFD4EFDF"/>
      <rgbColor rgb="FFFCE2C4"/>
      <rgbColor rgb="FFABEBC6"/>
      <rgbColor rgb="FFFBEAE8"/>
      <rgbColor rgb="FFEAECEE"/>
      <rgbColor rgb="FFF5B7B1"/>
      <rgbColor rgb="FF4472C4"/>
      <rgbColor rgb="FF27AE60"/>
      <rgbColor rgb="FF99CC00"/>
      <rgbColor rgb="FFFFCC00"/>
      <rgbColor rgb="FFF39C12"/>
      <rgbColor rgb="FFE74C3C"/>
      <rgbColor rgb="FF884EA0"/>
      <rgbColor rgb="FF70AD47"/>
      <rgbColor rgb="FF1F3864"/>
      <rgbColor rgb="FF229954"/>
      <rgbColor rgb="FF003300"/>
      <rgbColor rgb="FF1A1A1A"/>
      <rgbColor rgb="FFC0392B"/>
      <rgbColor rgb="FF993366"/>
      <rgbColor rgb="FF2F5496"/>
      <rgbColor rgb="FF34495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showGridLines="0" zoomScaleNormal="100" workbookViewId="0">
      <selection activeCell="A11" sqref="A11:D11"/>
    </sheetView>
  </sheetViews>
  <sheetFormatPr defaultColWidth="8.5703125" defaultRowHeight="14.45"/>
  <cols>
    <col min="1" max="1" width="24" customWidth="1"/>
    <col min="2" max="2" width="42" customWidth="1"/>
    <col min="3" max="3" width="24" customWidth="1"/>
    <col min="4" max="4" width="30" customWidth="1"/>
  </cols>
  <sheetData>
    <row r="1" spans="1:4" ht="27.75" customHeight="1">
      <c r="A1" s="63" t="s">
        <v>0</v>
      </c>
      <c r="B1" s="63"/>
      <c r="C1" s="63"/>
      <c r="D1" s="63"/>
    </row>
    <row r="2" spans="1:4" ht="6" customHeight="1">
      <c r="A2" s="76"/>
      <c r="B2" s="76"/>
      <c r="C2" s="76"/>
      <c r="D2" s="76"/>
    </row>
    <row r="3" spans="1:4" ht="27.75" customHeight="1">
      <c r="A3" s="3" t="s">
        <v>1</v>
      </c>
      <c r="B3" s="4" t="s">
        <v>2</v>
      </c>
      <c r="C3" s="3" t="s">
        <v>3</v>
      </c>
      <c r="D3" s="4" t="s">
        <v>4</v>
      </c>
    </row>
    <row r="4" spans="1:4" ht="27.75" customHeight="1">
      <c r="A4" s="3" t="s">
        <v>5</v>
      </c>
      <c r="B4" s="4" t="s">
        <v>6</v>
      </c>
      <c r="C4" s="3" t="s">
        <v>7</v>
      </c>
      <c r="D4" s="4" t="s">
        <v>8</v>
      </c>
    </row>
    <row r="5" spans="1:4" ht="27.75" customHeight="1">
      <c r="A5" s="3" t="s">
        <v>9</v>
      </c>
      <c r="B5" s="4" t="s">
        <v>10</v>
      </c>
      <c r="C5" s="3" t="s">
        <v>11</v>
      </c>
      <c r="D5" s="4" t="s">
        <v>12</v>
      </c>
    </row>
    <row r="6" spans="1:4" ht="27.75" customHeight="1">
      <c r="A6" s="3" t="s">
        <v>13</v>
      </c>
      <c r="B6" s="4" t="s">
        <v>14</v>
      </c>
      <c r="C6" s="3" t="s">
        <v>15</v>
      </c>
      <c r="D6" s="4" t="s">
        <v>16</v>
      </c>
    </row>
    <row r="8" spans="1:4" ht="18" customHeight="1">
      <c r="A8" s="64" t="s">
        <v>17</v>
      </c>
      <c r="B8" s="64"/>
      <c r="C8" s="64"/>
      <c r="D8" s="64"/>
    </row>
    <row r="9" spans="1:4" ht="39.75" customHeight="1">
      <c r="A9" s="56" t="s">
        <v>18</v>
      </c>
      <c r="B9" s="56"/>
      <c r="C9" s="56"/>
      <c r="D9" s="56"/>
    </row>
    <row r="11" spans="1:4" ht="18" customHeight="1">
      <c r="A11" s="64" t="s">
        <v>19</v>
      </c>
      <c r="B11" s="64"/>
      <c r="C11" s="64"/>
      <c r="D11" s="64"/>
    </row>
    <row r="12" spans="1:4" ht="21.75" customHeight="1">
      <c r="A12" s="5" t="s">
        <v>20</v>
      </c>
      <c r="B12" s="5" t="s">
        <v>21</v>
      </c>
      <c r="C12" s="5" t="s">
        <v>22</v>
      </c>
      <c r="D12" s="5" t="s">
        <v>23</v>
      </c>
    </row>
    <row r="13" spans="1:4" ht="24" customHeight="1">
      <c r="A13" s="6" t="s">
        <v>24</v>
      </c>
      <c r="B13" s="4" t="s">
        <v>25</v>
      </c>
      <c r="C13" s="7" t="s">
        <v>26</v>
      </c>
      <c r="D13" s="4" t="s">
        <v>27</v>
      </c>
    </row>
    <row r="14" spans="1:4" ht="24" customHeight="1">
      <c r="A14" s="6" t="s">
        <v>28</v>
      </c>
      <c r="B14" s="4" t="s">
        <v>29</v>
      </c>
      <c r="C14" s="7" t="s">
        <v>26</v>
      </c>
      <c r="D14" s="4" t="s">
        <v>30</v>
      </c>
    </row>
    <row r="15" spans="1:4" ht="24" customHeight="1">
      <c r="A15" s="6" t="s">
        <v>31</v>
      </c>
      <c r="B15" s="50" t="s">
        <v>32</v>
      </c>
      <c r="C15" s="51">
        <v>0</v>
      </c>
      <c r="D15" s="50" t="s">
        <v>33</v>
      </c>
    </row>
    <row r="16" spans="1:4" ht="24" customHeight="1">
      <c r="A16" s="6" t="s">
        <v>34</v>
      </c>
      <c r="B16" s="4" t="s">
        <v>35</v>
      </c>
      <c r="C16" s="7">
        <v>2</v>
      </c>
      <c r="D16" s="4" t="s">
        <v>36</v>
      </c>
    </row>
    <row r="17" spans="1:4" ht="24" customHeight="1">
      <c r="A17" s="6" t="s">
        <v>37</v>
      </c>
      <c r="B17" s="4" t="s">
        <v>38</v>
      </c>
      <c r="C17" s="7" t="s">
        <v>26</v>
      </c>
      <c r="D17" s="4" t="s">
        <v>39</v>
      </c>
    </row>
    <row r="18" spans="1:4" ht="24" customHeight="1">
      <c r="A18" s="6" t="s">
        <v>40</v>
      </c>
      <c r="B18" s="4" t="s">
        <v>41</v>
      </c>
      <c r="C18" s="7" t="s">
        <v>42</v>
      </c>
      <c r="D18" s="4" t="s">
        <v>43</v>
      </c>
    </row>
    <row r="19" spans="1:4" ht="24" customHeight="1">
      <c r="A19" s="6" t="s">
        <v>44</v>
      </c>
      <c r="B19" s="4" t="s">
        <v>45</v>
      </c>
      <c r="C19" s="7" t="s">
        <v>42</v>
      </c>
      <c r="D19" s="4" t="s">
        <v>46</v>
      </c>
    </row>
    <row r="20" spans="1:4" ht="24" customHeight="1">
      <c r="A20" s="6" t="s">
        <v>47</v>
      </c>
      <c r="B20" s="4" t="s">
        <v>48</v>
      </c>
      <c r="C20" s="7" t="s">
        <v>26</v>
      </c>
      <c r="D20" s="4" t="s">
        <v>49</v>
      </c>
    </row>
    <row r="21" spans="1:4" ht="24" customHeight="1">
      <c r="A21" s="6" t="s">
        <v>50</v>
      </c>
      <c r="B21" s="4" t="s">
        <v>51</v>
      </c>
      <c r="C21" s="7" t="s">
        <v>42</v>
      </c>
      <c r="D21" s="4" t="s">
        <v>52</v>
      </c>
    </row>
    <row r="22" spans="1:4" ht="24" customHeight="1">
      <c r="A22" s="6" t="s">
        <v>53</v>
      </c>
      <c r="B22" s="4" t="s">
        <v>54</v>
      </c>
      <c r="C22" s="7" t="s">
        <v>55</v>
      </c>
      <c r="D22" s="4" t="s">
        <v>56</v>
      </c>
    </row>
    <row r="23" spans="1:4" ht="24" customHeight="1">
      <c r="A23" s="6" t="s">
        <v>57</v>
      </c>
      <c r="B23" s="4" t="s">
        <v>58</v>
      </c>
      <c r="C23" s="7" t="s">
        <v>26</v>
      </c>
      <c r="D23" s="4" t="s">
        <v>59</v>
      </c>
    </row>
    <row r="24" spans="1:4" ht="24" customHeight="1">
      <c r="A24" s="6" t="s">
        <v>60</v>
      </c>
      <c r="B24" s="4" t="s">
        <v>61</v>
      </c>
      <c r="C24" s="7" t="s">
        <v>55</v>
      </c>
      <c r="D24" s="4" t="s">
        <v>62</v>
      </c>
    </row>
  </sheetData>
  <mergeCells count="5">
    <mergeCell ref="A1:D1"/>
    <mergeCell ref="A2:D2"/>
    <mergeCell ref="A8:D8"/>
    <mergeCell ref="A9:D9"/>
    <mergeCell ref="A11:D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H111"/>
  <sheetViews>
    <sheetView showGridLines="0" zoomScaleNormal="100" workbookViewId="0">
      <pane xSplit="6" ySplit="3" topLeftCell="G64" activePane="bottomRight" state="frozen"/>
      <selection pane="bottomRight" activeCell="A79" sqref="A79:EH79"/>
      <selection pane="bottomLeft" activeCell="A4" sqref="A4"/>
      <selection pane="topRight" activeCell="G1" sqref="G1"/>
    </sheetView>
  </sheetViews>
  <sheetFormatPr defaultColWidth="8.5703125" defaultRowHeight="14.45"/>
  <cols>
    <col min="1" max="1" width="5" customWidth="1"/>
    <col min="2" max="2" width="42" customWidth="1"/>
    <col min="3" max="3" width="20" customWidth="1"/>
    <col min="4" max="4" width="11" customWidth="1"/>
    <col min="5" max="6" width="10" customWidth="1"/>
    <col min="7" max="138" width="2.5703125" customWidth="1"/>
  </cols>
  <sheetData>
    <row r="1" spans="1:138" ht="27.75" customHeight="1">
      <c r="A1" s="52" t="s">
        <v>63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  <c r="AO1" s="52"/>
      <c r="AP1" s="52"/>
      <c r="AQ1" s="52"/>
      <c r="AR1" s="52"/>
      <c r="AS1" s="52"/>
      <c r="AT1" s="52"/>
      <c r="AU1" s="52"/>
      <c r="AV1" s="52"/>
      <c r="AW1" s="52"/>
      <c r="AX1" s="52"/>
      <c r="AY1" s="52"/>
      <c r="AZ1" s="52"/>
      <c r="BA1" s="52"/>
      <c r="BB1" s="52"/>
      <c r="BC1" s="52"/>
      <c r="BD1" s="52"/>
      <c r="BE1" s="52"/>
      <c r="BF1" s="52"/>
      <c r="BG1" s="52"/>
      <c r="BH1" s="52"/>
      <c r="BI1" s="52"/>
      <c r="BJ1" s="52"/>
      <c r="BK1" s="52"/>
      <c r="BL1" s="52"/>
      <c r="BM1" s="52"/>
      <c r="BN1" s="52"/>
      <c r="BO1" s="52"/>
      <c r="BP1" s="52"/>
      <c r="BQ1" s="52"/>
      <c r="BR1" s="52"/>
      <c r="BS1" s="52"/>
      <c r="BT1" s="52"/>
      <c r="BU1" s="52"/>
      <c r="BV1" s="52"/>
      <c r="BW1" s="52"/>
      <c r="BX1" s="52"/>
      <c r="BY1" s="52"/>
      <c r="BZ1" s="52"/>
      <c r="CA1" s="52"/>
      <c r="CB1" s="52"/>
      <c r="CC1" s="52"/>
      <c r="CD1" s="52"/>
      <c r="CE1" s="52"/>
      <c r="CF1" s="52"/>
      <c r="CG1" s="52"/>
      <c r="CH1" s="52"/>
      <c r="CI1" s="52"/>
      <c r="CJ1" s="52"/>
      <c r="CK1" s="52"/>
      <c r="CL1" s="52"/>
      <c r="CM1" s="52"/>
      <c r="CN1" s="52"/>
      <c r="CO1" s="52"/>
      <c r="CP1" s="52"/>
      <c r="CQ1" s="52"/>
      <c r="CR1" s="52"/>
      <c r="CS1" s="52"/>
      <c r="CT1" s="52"/>
      <c r="CU1" s="52"/>
      <c r="CV1" s="52"/>
      <c r="CW1" s="52"/>
      <c r="CX1" s="52"/>
      <c r="CY1" s="52"/>
      <c r="CZ1" s="52"/>
      <c r="DA1" s="52"/>
      <c r="DB1" s="52"/>
      <c r="DC1" s="52"/>
      <c r="DD1" s="52"/>
      <c r="DE1" s="52"/>
      <c r="DF1" s="52"/>
      <c r="DG1" s="52"/>
      <c r="DH1" s="52"/>
      <c r="DI1" s="52"/>
      <c r="DJ1" s="52"/>
      <c r="DK1" s="52"/>
      <c r="DL1" s="52"/>
      <c r="DM1" s="52"/>
      <c r="DN1" s="52"/>
      <c r="DO1" s="52"/>
      <c r="DP1" s="52"/>
      <c r="DQ1" s="52"/>
      <c r="DR1" s="52"/>
      <c r="DS1" s="52"/>
      <c r="DT1" s="52"/>
      <c r="DU1" s="52"/>
      <c r="DV1" s="52"/>
      <c r="DW1" s="52"/>
      <c r="DX1" s="52"/>
      <c r="DY1" s="52"/>
      <c r="DZ1" s="52"/>
      <c r="EA1" s="52"/>
      <c r="EB1" s="52"/>
      <c r="EC1" s="52"/>
      <c r="ED1" s="52"/>
      <c r="EE1" s="52"/>
      <c r="EF1" s="52"/>
      <c r="EG1" s="52"/>
      <c r="EH1" s="52"/>
    </row>
    <row r="2" spans="1:138" ht="18" customHeight="1">
      <c r="G2" s="53" t="s">
        <v>64</v>
      </c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 t="s">
        <v>65</v>
      </c>
      <c r="AM2" s="53"/>
      <c r="AN2" s="53"/>
      <c r="AO2" s="53"/>
      <c r="AP2" s="53"/>
      <c r="AQ2" s="53"/>
      <c r="AR2" s="53"/>
      <c r="AS2" s="53"/>
      <c r="AT2" s="53"/>
      <c r="AU2" s="53"/>
      <c r="AV2" s="53"/>
      <c r="AW2" s="53"/>
      <c r="AX2" s="53"/>
      <c r="AY2" s="53"/>
      <c r="AZ2" s="53"/>
      <c r="BA2" s="53"/>
      <c r="BB2" s="53"/>
      <c r="BC2" s="53"/>
      <c r="BD2" s="53"/>
      <c r="BE2" s="53"/>
      <c r="BF2" s="53"/>
      <c r="BG2" s="53"/>
      <c r="BH2" s="53"/>
      <c r="BI2" s="53"/>
      <c r="BJ2" s="53"/>
      <c r="BK2" s="53"/>
      <c r="BL2" s="53"/>
      <c r="BM2" s="53"/>
      <c r="BN2" s="53"/>
      <c r="BO2" s="53"/>
      <c r="BP2" s="53" t="s">
        <v>66</v>
      </c>
      <c r="BQ2" s="53"/>
      <c r="BR2" s="53"/>
      <c r="BS2" s="53"/>
      <c r="BT2" s="53"/>
      <c r="BU2" s="53"/>
      <c r="BV2" s="53"/>
      <c r="BW2" s="53"/>
      <c r="BX2" s="53"/>
      <c r="BY2" s="53"/>
      <c r="BZ2" s="53"/>
      <c r="CA2" s="53"/>
      <c r="CB2" s="53"/>
      <c r="CC2" s="53"/>
      <c r="CD2" s="53"/>
      <c r="CE2" s="53"/>
      <c r="CF2" s="53"/>
      <c r="CG2" s="53"/>
      <c r="CH2" s="53"/>
      <c r="CI2" s="53"/>
      <c r="CJ2" s="53"/>
      <c r="CK2" s="53"/>
      <c r="CL2" s="53"/>
      <c r="CM2" s="53"/>
      <c r="CN2" s="53"/>
      <c r="CO2" s="53"/>
      <c r="CP2" s="53"/>
      <c r="CQ2" s="53"/>
      <c r="CR2" s="53"/>
      <c r="CS2" s="53"/>
      <c r="CT2" s="53"/>
      <c r="CU2" s="53" t="s">
        <v>67</v>
      </c>
      <c r="CV2" s="53"/>
      <c r="CW2" s="53"/>
      <c r="CX2" s="53"/>
      <c r="CY2" s="53"/>
      <c r="CZ2" s="53"/>
      <c r="DA2" s="53"/>
      <c r="DB2" s="53"/>
      <c r="DC2" s="53"/>
      <c r="DD2" s="53"/>
      <c r="DE2" s="53"/>
      <c r="DF2" s="53"/>
      <c r="DG2" s="53"/>
      <c r="DH2" s="53"/>
      <c r="DI2" s="53"/>
      <c r="DJ2" s="53"/>
      <c r="DK2" s="53"/>
      <c r="DL2" s="53"/>
      <c r="DM2" s="53"/>
      <c r="DN2" s="53"/>
      <c r="DO2" s="53"/>
      <c r="DP2" s="53"/>
      <c r="DQ2" s="53"/>
      <c r="DR2" s="53"/>
      <c r="DS2" s="53"/>
      <c r="DT2" s="53"/>
      <c r="DU2" s="53"/>
      <c r="DV2" s="53"/>
      <c r="DW2" s="53"/>
      <c r="DX2" s="53"/>
      <c r="DY2" s="53" t="s">
        <v>68</v>
      </c>
      <c r="DZ2" s="53"/>
      <c r="EA2" s="53"/>
      <c r="EB2" s="53"/>
      <c r="EC2" s="53"/>
      <c r="ED2" s="53"/>
      <c r="EE2" s="53"/>
      <c r="EF2" s="53"/>
      <c r="EG2" s="53"/>
      <c r="EH2" s="53"/>
    </row>
    <row r="3" spans="1:138" ht="30" customHeight="1">
      <c r="A3" s="5" t="s">
        <v>69</v>
      </c>
      <c r="B3" s="5" t="s">
        <v>70</v>
      </c>
      <c r="C3" s="5" t="s">
        <v>71</v>
      </c>
      <c r="D3" s="5" t="s">
        <v>72</v>
      </c>
      <c r="E3" s="5" t="s">
        <v>73</v>
      </c>
      <c r="F3" s="5" t="s">
        <v>74</v>
      </c>
      <c r="G3" s="8">
        <v>46235</v>
      </c>
      <c r="H3" s="8">
        <v>46236</v>
      </c>
      <c r="I3" s="8">
        <v>46237</v>
      </c>
      <c r="J3" s="8">
        <v>46238</v>
      </c>
      <c r="K3" s="8">
        <v>46239</v>
      </c>
      <c r="L3" s="8">
        <v>46240</v>
      </c>
      <c r="M3" s="8">
        <v>46241</v>
      </c>
      <c r="N3" s="8">
        <v>46242</v>
      </c>
      <c r="O3" s="8">
        <v>46243</v>
      </c>
      <c r="P3" s="8">
        <v>46244</v>
      </c>
      <c r="Q3" s="8">
        <v>46245</v>
      </c>
      <c r="R3" s="8">
        <v>46246</v>
      </c>
      <c r="S3" s="8">
        <v>46247</v>
      </c>
      <c r="T3" s="8">
        <v>46248</v>
      </c>
      <c r="U3" s="8">
        <v>46249</v>
      </c>
      <c r="V3" s="8">
        <v>46250</v>
      </c>
      <c r="W3" s="8">
        <v>46251</v>
      </c>
      <c r="X3" s="8">
        <v>46252</v>
      </c>
      <c r="Y3" s="8">
        <v>46253</v>
      </c>
      <c r="Z3" s="8">
        <v>46254</v>
      </c>
      <c r="AA3" s="8">
        <v>46255</v>
      </c>
      <c r="AB3" s="8">
        <v>46256</v>
      </c>
      <c r="AC3" s="8">
        <v>46257</v>
      </c>
      <c r="AD3" s="8">
        <v>46258</v>
      </c>
      <c r="AE3" s="8">
        <v>46259</v>
      </c>
      <c r="AF3" s="8">
        <v>46260</v>
      </c>
      <c r="AG3" s="8">
        <v>46261</v>
      </c>
      <c r="AH3" s="8">
        <v>46262</v>
      </c>
      <c r="AI3" s="8">
        <v>46263</v>
      </c>
      <c r="AJ3" s="8">
        <v>46264</v>
      </c>
      <c r="AK3" s="8">
        <v>46265</v>
      </c>
      <c r="AL3" s="8">
        <v>46266</v>
      </c>
      <c r="AM3" s="8">
        <v>46267</v>
      </c>
      <c r="AN3" s="8">
        <v>46268</v>
      </c>
      <c r="AO3" s="8">
        <v>46269</v>
      </c>
      <c r="AP3" s="8">
        <v>46270</v>
      </c>
      <c r="AQ3" s="8">
        <v>46271</v>
      </c>
      <c r="AR3" s="8">
        <v>46272</v>
      </c>
      <c r="AS3" s="8">
        <v>46273</v>
      </c>
      <c r="AT3" s="8">
        <v>46274</v>
      </c>
      <c r="AU3" s="8">
        <v>46275</v>
      </c>
      <c r="AV3" s="8">
        <v>46276</v>
      </c>
      <c r="AW3" s="8">
        <v>46277</v>
      </c>
      <c r="AX3" s="8">
        <v>46278</v>
      </c>
      <c r="AY3" s="8">
        <v>46279</v>
      </c>
      <c r="AZ3" s="8">
        <v>46280</v>
      </c>
      <c r="BA3" s="8">
        <v>46281</v>
      </c>
      <c r="BB3" s="8">
        <v>46282</v>
      </c>
      <c r="BC3" s="8">
        <v>46283</v>
      </c>
      <c r="BD3" s="8">
        <v>46284</v>
      </c>
      <c r="BE3" s="8">
        <v>46285</v>
      </c>
      <c r="BF3" s="8">
        <v>46286</v>
      </c>
      <c r="BG3" s="8">
        <v>46287</v>
      </c>
      <c r="BH3" s="8">
        <v>46288</v>
      </c>
      <c r="BI3" s="8">
        <v>46289</v>
      </c>
      <c r="BJ3" s="8">
        <v>46290</v>
      </c>
      <c r="BK3" s="8">
        <v>46291</v>
      </c>
      <c r="BL3" s="8">
        <v>46292</v>
      </c>
      <c r="BM3" s="8">
        <v>46293</v>
      </c>
      <c r="BN3" s="8">
        <v>46294</v>
      </c>
      <c r="BO3" s="8">
        <v>46295</v>
      </c>
      <c r="BP3" s="8">
        <v>46296</v>
      </c>
      <c r="BQ3" s="8">
        <v>46297</v>
      </c>
      <c r="BR3" s="8">
        <v>46298</v>
      </c>
      <c r="BS3" s="8">
        <v>46299</v>
      </c>
      <c r="BT3" s="8">
        <v>46300</v>
      </c>
      <c r="BU3" s="8">
        <v>46301</v>
      </c>
      <c r="BV3" s="8">
        <v>46302</v>
      </c>
      <c r="BW3" s="8">
        <v>46303</v>
      </c>
      <c r="BX3" s="8">
        <v>46304</v>
      </c>
      <c r="BY3" s="8">
        <v>46305</v>
      </c>
      <c r="BZ3" s="8">
        <v>46306</v>
      </c>
      <c r="CA3" s="8">
        <v>46307</v>
      </c>
      <c r="CB3" s="8">
        <v>46308</v>
      </c>
      <c r="CC3" s="8">
        <v>46309</v>
      </c>
      <c r="CD3" s="8">
        <v>46310</v>
      </c>
      <c r="CE3" s="8">
        <v>46311</v>
      </c>
      <c r="CF3" s="8">
        <v>46312</v>
      </c>
      <c r="CG3" s="8">
        <v>46313</v>
      </c>
      <c r="CH3" s="8">
        <v>46314</v>
      </c>
      <c r="CI3" s="8">
        <v>46315</v>
      </c>
      <c r="CJ3" s="8">
        <v>46316</v>
      </c>
      <c r="CK3" s="8">
        <v>46317</v>
      </c>
      <c r="CL3" s="8">
        <v>46318</v>
      </c>
      <c r="CM3" s="8">
        <v>46319</v>
      </c>
      <c r="CN3" s="8">
        <v>46320</v>
      </c>
      <c r="CO3" s="8">
        <v>46321</v>
      </c>
      <c r="CP3" s="8">
        <v>46322</v>
      </c>
      <c r="CQ3" s="8">
        <v>46323</v>
      </c>
      <c r="CR3" s="8">
        <v>46324</v>
      </c>
      <c r="CS3" s="8">
        <v>46325</v>
      </c>
      <c r="CT3" s="8">
        <v>46326</v>
      </c>
      <c r="CU3" s="8">
        <v>46327</v>
      </c>
      <c r="CV3" s="8">
        <v>46328</v>
      </c>
      <c r="CW3" s="8">
        <v>46329</v>
      </c>
      <c r="CX3" s="8">
        <v>46330</v>
      </c>
      <c r="CY3" s="8">
        <v>46331</v>
      </c>
      <c r="CZ3" s="8">
        <v>46332</v>
      </c>
      <c r="DA3" s="8">
        <v>46333</v>
      </c>
      <c r="DB3" s="8">
        <v>46334</v>
      </c>
      <c r="DC3" s="8">
        <v>46335</v>
      </c>
      <c r="DD3" s="8">
        <v>46336</v>
      </c>
      <c r="DE3" s="8">
        <v>46337</v>
      </c>
      <c r="DF3" s="8">
        <v>46338</v>
      </c>
      <c r="DG3" s="8">
        <v>46339</v>
      </c>
      <c r="DH3" s="8">
        <v>46340</v>
      </c>
      <c r="DI3" s="8">
        <v>46341</v>
      </c>
      <c r="DJ3" s="8">
        <v>46342</v>
      </c>
      <c r="DK3" s="8">
        <v>46343</v>
      </c>
      <c r="DL3" s="8">
        <v>46344</v>
      </c>
      <c r="DM3" s="8">
        <v>46345</v>
      </c>
      <c r="DN3" s="8">
        <v>46346</v>
      </c>
      <c r="DO3" s="8">
        <v>46347</v>
      </c>
      <c r="DP3" s="8">
        <v>46348</v>
      </c>
      <c r="DQ3" s="8">
        <v>46349</v>
      </c>
      <c r="DR3" s="8">
        <v>46350</v>
      </c>
      <c r="DS3" s="8">
        <v>46351</v>
      </c>
      <c r="DT3" s="8">
        <v>46352</v>
      </c>
      <c r="DU3" s="8">
        <v>46353</v>
      </c>
      <c r="DV3" s="8">
        <v>46354</v>
      </c>
      <c r="DW3" s="8">
        <v>46355</v>
      </c>
      <c r="DX3" s="8">
        <v>46356</v>
      </c>
      <c r="DY3" s="8">
        <v>46357</v>
      </c>
      <c r="DZ3" s="8">
        <v>46358</v>
      </c>
      <c r="EA3" s="8">
        <v>46359</v>
      </c>
      <c r="EB3" s="8">
        <v>46360</v>
      </c>
      <c r="EC3" s="8">
        <v>46361</v>
      </c>
      <c r="ED3" s="8">
        <v>46362</v>
      </c>
      <c r="EE3" s="8">
        <v>46363</v>
      </c>
      <c r="EF3" s="8">
        <v>46364</v>
      </c>
      <c r="EG3" s="8">
        <v>46365</v>
      </c>
      <c r="EH3" s="8">
        <v>46366</v>
      </c>
    </row>
    <row r="4" spans="1:138" ht="15.75" customHeight="1">
      <c r="A4" s="54" t="s">
        <v>75</v>
      </c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54"/>
      <c r="AS4" s="54"/>
      <c r="AT4" s="54"/>
      <c r="AU4" s="54"/>
      <c r="AV4" s="54"/>
      <c r="AW4" s="54"/>
      <c r="AX4" s="54"/>
      <c r="AY4" s="54"/>
      <c r="AZ4" s="54"/>
      <c r="BA4" s="54"/>
      <c r="BB4" s="54"/>
      <c r="BC4" s="54"/>
      <c r="BD4" s="54"/>
      <c r="BE4" s="54"/>
      <c r="BF4" s="54"/>
      <c r="BG4" s="54"/>
      <c r="BH4" s="54"/>
      <c r="BI4" s="54"/>
      <c r="BJ4" s="54"/>
      <c r="BK4" s="54"/>
      <c r="BL4" s="54"/>
      <c r="BM4" s="54"/>
      <c r="BN4" s="54"/>
      <c r="BO4" s="54"/>
      <c r="BP4" s="54"/>
      <c r="BQ4" s="54"/>
      <c r="BR4" s="54"/>
      <c r="BS4" s="54"/>
      <c r="BT4" s="54"/>
      <c r="BU4" s="54"/>
      <c r="BV4" s="54"/>
      <c r="BW4" s="54"/>
      <c r="BX4" s="54"/>
      <c r="BY4" s="54"/>
      <c r="BZ4" s="54"/>
      <c r="CA4" s="54"/>
      <c r="CB4" s="54"/>
      <c r="CC4" s="54"/>
      <c r="CD4" s="54"/>
      <c r="CE4" s="54"/>
      <c r="CF4" s="54"/>
      <c r="CG4" s="54"/>
      <c r="CH4" s="54"/>
      <c r="CI4" s="54"/>
      <c r="CJ4" s="54"/>
      <c r="CK4" s="54"/>
      <c r="CL4" s="54"/>
      <c r="CM4" s="54"/>
      <c r="CN4" s="54"/>
      <c r="CO4" s="54"/>
      <c r="CP4" s="54"/>
      <c r="CQ4" s="54"/>
      <c r="CR4" s="54"/>
      <c r="CS4" s="54"/>
      <c r="CT4" s="54"/>
      <c r="CU4" s="54"/>
      <c r="CV4" s="54"/>
      <c r="CW4" s="54"/>
      <c r="CX4" s="54"/>
      <c r="CY4" s="54"/>
      <c r="CZ4" s="54"/>
      <c r="DA4" s="54"/>
      <c r="DB4" s="54"/>
      <c r="DC4" s="54"/>
      <c r="DD4" s="54"/>
      <c r="DE4" s="54"/>
      <c r="DF4" s="54"/>
      <c r="DG4" s="54"/>
      <c r="DH4" s="54"/>
      <c r="DI4" s="54"/>
      <c r="DJ4" s="54"/>
      <c r="DK4" s="54"/>
      <c r="DL4" s="54"/>
      <c r="DM4" s="54"/>
      <c r="DN4" s="54"/>
      <c r="DO4" s="54"/>
      <c r="DP4" s="54"/>
      <c r="DQ4" s="54"/>
      <c r="DR4" s="54"/>
      <c r="DS4" s="54"/>
      <c r="DT4" s="54"/>
      <c r="DU4" s="54"/>
      <c r="DV4" s="54"/>
      <c r="DW4" s="54"/>
      <c r="DX4" s="54"/>
      <c r="DY4" s="54"/>
      <c r="DZ4" s="54"/>
      <c r="EA4" s="54"/>
      <c r="EB4" s="54"/>
      <c r="EC4" s="54"/>
      <c r="ED4" s="54"/>
      <c r="EE4" s="54"/>
      <c r="EF4" s="54"/>
      <c r="EG4" s="54"/>
      <c r="EH4" s="54"/>
    </row>
    <row r="5" spans="1:138" ht="13.5" customHeight="1">
      <c r="A5" s="55" t="s">
        <v>76</v>
      </c>
      <c r="B5" s="56" t="s">
        <v>77</v>
      </c>
      <c r="C5" s="57" t="s">
        <v>78</v>
      </c>
      <c r="D5" s="9" t="s">
        <v>79</v>
      </c>
      <c r="E5" s="10">
        <v>46249</v>
      </c>
      <c r="F5" s="10">
        <v>46249</v>
      </c>
      <c r="G5" s="11" t="str">
        <f t="shared" ref="G5:P10" si="0">IF(AND($E5&lt;&gt;"",$F5&lt;&gt;"",$E5&lt;=G$3,$F5&gt;=G$3),"▪","")</f>
        <v/>
      </c>
      <c r="H5" s="11" t="str">
        <f t="shared" si="0"/>
        <v/>
      </c>
      <c r="I5" s="11" t="str">
        <f t="shared" si="0"/>
        <v/>
      </c>
      <c r="J5" s="11" t="str">
        <f t="shared" si="0"/>
        <v/>
      </c>
      <c r="K5" s="11" t="str">
        <f t="shared" si="0"/>
        <v/>
      </c>
      <c r="L5" s="11" t="str">
        <f t="shared" si="0"/>
        <v/>
      </c>
      <c r="M5" s="11" t="str">
        <f t="shared" si="0"/>
        <v/>
      </c>
      <c r="N5" s="11" t="str">
        <f t="shared" si="0"/>
        <v/>
      </c>
      <c r="O5" s="11" t="str">
        <f t="shared" si="0"/>
        <v/>
      </c>
      <c r="P5" s="11" t="str">
        <f t="shared" si="0"/>
        <v/>
      </c>
      <c r="Q5" s="11" t="str">
        <f t="shared" ref="Q5:Z10" si="1">IF(AND($E5&lt;&gt;"",$F5&lt;&gt;"",$E5&lt;=Q$3,$F5&gt;=Q$3),"▪","")</f>
        <v/>
      </c>
      <c r="R5" s="11" t="str">
        <f t="shared" si="1"/>
        <v/>
      </c>
      <c r="S5" s="11" t="str">
        <f t="shared" si="1"/>
        <v/>
      </c>
      <c r="T5" s="11" t="str">
        <f t="shared" si="1"/>
        <v/>
      </c>
      <c r="U5" s="11" t="str">
        <f t="shared" si="1"/>
        <v>▪</v>
      </c>
      <c r="V5" s="11" t="str">
        <f t="shared" si="1"/>
        <v/>
      </c>
      <c r="W5" s="11" t="str">
        <f t="shared" si="1"/>
        <v/>
      </c>
      <c r="X5" s="11" t="str">
        <f t="shared" si="1"/>
        <v/>
      </c>
      <c r="Y5" s="11" t="str">
        <f t="shared" si="1"/>
        <v/>
      </c>
      <c r="Z5" s="11" t="str">
        <f t="shared" si="1"/>
        <v/>
      </c>
      <c r="AA5" s="11" t="str">
        <f t="shared" ref="AA5:AJ10" si="2">IF(AND($E5&lt;&gt;"",$F5&lt;&gt;"",$E5&lt;=AA$3,$F5&gt;=AA$3),"▪","")</f>
        <v/>
      </c>
      <c r="AB5" s="11" t="str">
        <f t="shared" si="2"/>
        <v/>
      </c>
      <c r="AC5" s="11" t="str">
        <f t="shared" si="2"/>
        <v/>
      </c>
      <c r="AD5" s="11" t="str">
        <f t="shared" si="2"/>
        <v/>
      </c>
      <c r="AE5" s="11" t="str">
        <f t="shared" si="2"/>
        <v/>
      </c>
      <c r="AF5" s="11" t="str">
        <f t="shared" si="2"/>
        <v/>
      </c>
      <c r="AG5" s="11" t="str">
        <f t="shared" si="2"/>
        <v/>
      </c>
      <c r="AH5" s="11" t="str">
        <f t="shared" si="2"/>
        <v/>
      </c>
      <c r="AI5" s="11" t="str">
        <f t="shared" si="2"/>
        <v/>
      </c>
      <c r="AJ5" s="11" t="str">
        <f t="shared" si="2"/>
        <v/>
      </c>
      <c r="AK5" s="11" t="str">
        <f t="shared" ref="AK5:AT10" si="3">IF(AND($E5&lt;&gt;"",$F5&lt;&gt;"",$E5&lt;=AK$3,$F5&gt;=AK$3),"▪","")</f>
        <v/>
      </c>
      <c r="AL5" s="11" t="str">
        <f t="shared" si="3"/>
        <v/>
      </c>
      <c r="AM5" s="11" t="str">
        <f t="shared" si="3"/>
        <v/>
      </c>
      <c r="AN5" s="11" t="str">
        <f t="shared" si="3"/>
        <v/>
      </c>
      <c r="AO5" s="11" t="str">
        <f t="shared" si="3"/>
        <v/>
      </c>
      <c r="AP5" s="11" t="str">
        <f t="shared" si="3"/>
        <v/>
      </c>
      <c r="AQ5" s="11" t="str">
        <f t="shared" si="3"/>
        <v/>
      </c>
      <c r="AR5" s="11" t="str">
        <f t="shared" si="3"/>
        <v/>
      </c>
      <c r="AS5" s="11" t="str">
        <f t="shared" si="3"/>
        <v/>
      </c>
      <c r="AT5" s="11" t="str">
        <f t="shared" si="3"/>
        <v/>
      </c>
      <c r="AU5" s="11" t="str">
        <f t="shared" ref="AU5:BD10" si="4">IF(AND($E5&lt;&gt;"",$F5&lt;&gt;"",$E5&lt;=AU$3,$F5&gt;=AU$3),"▪","")</f>
        <v/>
      </c>
      <c r="AV5" s="11" t="str">
        <f t="shared" si="4"/>
        <v/>
      </c>
      <c r="AW5" s="11" t="str">
        <f t="shared" si="4"/>
        <v/>
      </c>
      <c r="AX5" s="11" t="str">
        <f t="shared" si="4"/>
        <v/>
      </c>
      <c r="AY5" s="11" t="str">
        <f t="shared" si="4"/>
        <v/>
      </c>
      <c r="AZ5" s="11" t="str">
        <f t="shared" si="4"/>
        <v/>
      </c>
      <c r="BA5" s="11" t="str">
        <f t="shared" si="4"/>
        <v/>
      </c>
      <c r="BB5" s="11" t="str">
        <f t="shared" si="4"/>
        <v/>
      </c>
      <c r="BC5" s="11" t="str">
        <f t="shared" si="4"/>
        <v/>
      </c>
      <c r="BD5" s="11" t="str">
        <f t="shared" si="4"/>
        <v/>
      </c>
      <c r="BE5" s="11" t="str">
        <f t="shared" ref="BE5:BN10" si="5">IF(AND($E5&lt;&gt;"",$F5&lt;&gt;"",$E5&lt;=BE$3,$F5&gt;=BE$3),"▪","")</f>
        <v/>
      </c>
      <c r="BF5" s="11" t="str">
        <f t="shared" si="5"/>
        <v/>
      </c>
      <c r="BG5" s="11" t="str">
        <f t="shared" si="5"/>
        <v/>
      </c>
      <c r="BH5" s="11" t="str">
        <f t="shared" si="5"/>
        <v/>
      </c>
      <c r="BI5" s="11" t="str">
        <f t="shared" si="5"/>
        <v/>
      </c>
      <c r="BJ5" s="11" t="str">
        <f t="shared" si="5"/>
        <v/>
      </c>
      <c r="BK5" s="11" t="str">
        <f t="shared" si="5"/>
        <v/>
      </c>
      <c r="BL5" s="11" t="str">
        <f t="shared" si="5"/>
        <v/>
      </c>
      <c r="BM5" s="11" t="str">
        <f t="shared" si="5"/>
        <v/>
      </c>
      <c r="BN5" s="11" t="str">
        <f t="shared" si="5"/>
        <v/>
      </c>
      <c r="BO5" s="11" t="str">
        <f t="shared" ref="BO5:BX10" si="6">IF(AND($E5&lt;&gt;"",$F5&lt;&gt;"",$E5&lt;=BO$3,$F5&gt;=BO$3),"▪","")</f>
        <v/>
      </c>
      <c r="BP5" s="11" t="str">
        <f t="shared" si="6"/>
        <v/>
      </c>
      <c r="BQ5" s="11" t="str">
        <f t="shared" si="6"/>
        <v/>
      </c>
      <c r="BR5" s="11" t="str">
        <f t="shared" si="6"/>
        <v/>
      </c>
      <c r="BS5" s="11" t="str">
        <f t="shared" si="6"/>
        <v/>
      </c>
      <c r="BT5" s="11" t="str">
        <f t="shared" si="6"/>
        <v/>
      </c>
      <c r="BU5" s="11" t="str">
        <f t="shared" si="6"/>
        <v/>
      </c>
      <c r="BV5" s="11" t="str">
        <f t="shared" si="6"/>
        <v/>
      </c>
      <c r="BW5" s="11" t="str">
        <f t="shared" si="6"/>
        <v/>
      </c>
      <c r="BX5" s="11" t="str">
        <f t="shared" si="6"/>
        <v/>
      </c>
      <c r="BY5" s="11" t="str">
        <f t="shared" ref="BY5:CH10" si="7">IF(AND($E5&lt;&gt;"",$F5&lt;&gt;"",$E5&lt;=BY$3,$F5&gt;=BY$3),"▪","")</f>
        <v/>
      </c>
      <c r="BZ5" s="11" t="str">
        <f t="shared" si="7"/>
        <v/>
      </c>
      <c r="CA5" s="11" t="str">
        <f t="shared" si="7"/>
        <v/>
      </c>
      <c r="CB5" s="11" t="str">
        <f t="shared" si="7"/>
        <v/>
      </c>
      <c r="CC5" s="11" t="str">
        <f t="shared" si="7"/>
        <v/>
      </c>
      <c r="CD5" s="11" t="str">
        <f t="shared" si="7"/>
        <v/>
      </c>
      <c r="CE5" s="11" t="str">
        <f t="shared" si="7"/>
        <v/>
      </c>
      <c r="CF5" s="11" t="str">
        <f t="shared" si="7"/>
        <v/>
      </c>
      <c r="CG5" s="11" t="str">
        <f t="shared" si="7"/>
        <v/>
      </c>
      <c r="CH5" s="11" t="str">
        <f t="shared" si="7"/>
        <v/>
      </c>
      <c r="CI5" s="11" t="str">
        <f t="shared" ref="CI5:CR10" si="8">IF(AND($E5&lt;&gt;"",$F5&lt;&gt;"",$E5&lt;=CI$3,$F5&gt;=CI$3),"▪","")</f>
        <v/>
      </c>
      <c r="CJ5" s="11" t="str">
        <f t="shared" si="8"/>
        <v/>
      </c>
      <c r="CK5" s="11" t="str">
        <f t="shared" si="8"/>
        <v/>
      </c>
      <c r="CL5" s="11" t="str">
        <f t="shared" si="8"/>
        <v/>
      </c>
      <c r="CM5" s="11" t="str">
        <f t="shared" si="8"/>
        <v/>
      </c>
      <c r="CN5" s="11" t="str">
        <f t="shared" si="8"/>
        <v/>
      </c>
      <c r="CO5" s="11" t="str">
        <f t="shared" si="8"/>
        <v/>
      </c>
      <c r="CP5" s="11" t="str">
        <f t="shared" si="8"/>
        <v/>
      </c>
      <c r="CQ5" s="11" t="str">
        <f t="shared" si="8"/>
        <v/>
      </c>
      <c r="CR5" s="11" t="str">
        <f t="shared" si="8"/>
        <v/>
      </c>
      <c r="CS5" s="11" t="str">
        <f t="shared" ref="CS5:DB10" si="9">IF(AND($E5&lt;&gt;"",$F5&lt;&gt;"",$E5&lt;=CS$3,$F5&gt;=CS$3),"▪","")</f>
        <v/>
      </c>
      <c r="CT5" s="11" t="str">
        <f t="shared" si="9"/>
        <v/>
      </c>
      <c r="CU5" s="11" t="str">
        <f t="shared" si="9"/>
        <v/>
      </c>
      <c r="CV5" s="11" t="str">
        <f t="shared" si="9"/>
        <v/>
      </c>
      <c r="CW5" s="11" t="str">
        <f t="shared" si="9"/>
        <v/>
      </c>
      <c r="CX5" s="11" t="str">
        <f t="shared" si="9"/>
        <v/>
      </c>
      <c r="CY5" s="11" t="str">
        <f t="shared" si="9"/>
        <v/>
      </c>
      <c r="CZ5" s="11" t="str">
        <f t="shared" si="9"/>
        <v/>
      </c>
      <c r="DA5" s="11" t="str">
        <f t="shared" si="9"/>
        <v/>
      </c>
      <c r="DB5" s="11" t="str">
        <f t="shared" si="9"/>
        <v/>
      </c>
      <c r="DC5" s="11" t="str">
        <f t="shared" ref="DC5:DL10" si="10">IF(AND($E5&lt;&gt;"",$F5&lt;&gt;"",$E5&lt;=DC$3,$F5&gt;=DC$3),"▪","")</f>
        <v/>
      </c>
      <c r="DD5" s="11" t="str">
        <f t="shared" si="10"/>
        <v/>
      </c>
      <c r="DE5" s="11" t="str">
        <f t="shared" si="10"/>
        <v/>
      </c>
      <c r="DF5" s="11" t="str">
        <f t="shared" si="10"/>
        <v/>
      </c>
      <c r="DG5" s="11" t="str">
        <f t="shared" si="10"/>
        <v/>
      </c>
      <c r="DH5" s="11" t="str">
        <f t="shared" si="10"/>
        <v/>
      </c>
      <c r="DI5" s="11" t="str">
        <f t="shared" si="10"/>
        <v/>
      </c>
      <c r="DJ5" s="11" t="str">
        <f t="shared" si="10"/>
        <v/>
      </c>
      <c r="DK5" s="11" t="str">
        <f t="shared" si="10"/>
        <v/>
      </c>
      <c r="DL5" s="11" t="str">
        <f t="shared" si="10"/>
        <v/>
      </c>
      <c r="DM5" s="11" t="str">
        <f t="shared" ref="DM5:DV10" si="11">IF(AND($E5&lt;&gt;"",$F5&lt;&gt;"",$E5&lt;=DM$3,$F5&gt;=DM$3),"▪","")</f>
        <v/>
      </c>
      <c r="DN5" s="11" t="str">
        <f t="shared" si="11"/>
        <v/>
      </c>
      <c r="DO5" s="11" t="str">
        <f t="shared" si="11"/>
        <v/>
      </c>
      <c r="DP5" s="11" t="str">
        <f t="shared" si="11"/>
        <v/>
      </c>
      <c r="DQ5" s="11" t="str">
        <f t="shared" si="11"/>
        <v/>
      </c>
      <c r="DR5" s="11" t="str">
        <f t="shared" si="11"/>
        <v/>
      </c>
      <c r="DS5" s="11" t="str">
        <f t="shared" si="11"/>
        <v/>
      </c>
      <c r="DT5" s="11" t="str">
        <f t="shared" si="11"/>
        <v/>
      </c>
      <c r="DU5" s="11" t="str">
        <f t="shared" si="11"/>
        <v/>
      </c>
      <c r="DV5" s="11" t="str">
        <f t="shared" si="11"/>
        <v/>
      </c>
      <c r="DW5" s="11" t="str">
        <f t="shared" ref="DW5:EH10" si="12">IF(AND($E5&lt;&gt;"",$F5&lt;&gt;"",$E5&lt;=DW$3,$F5&gt;=DW$3),"▪","")</f>
        <v/>
      </c>
      <c r="DX5" s="11" t="str">
        <f t="shared" si="12"/>
        <v/>
      </c>
      <c r="DY5" s="11" t="str">
        <f t="shared" si="12"/>
        <v/>
      </c>
      <c r="DZ5" s="11" t="str">
        <f t="shared" si="12"/>
        <v/>
      </c>
      <c r="EA5" s="11" t="str">
        <f t="shared" si="12"/>
        <v/>
      </c>
      <c r="EB5" s="11" t="str">
        <f t="shared" si="12"/>
        <v/>
      </c>
      <c r="EC5" s="11" t="str">
        <f t="shared" si="12"/>
        <v/>
      </c>
      <c r="ED5" s="11" t="str">
        <f t="shared" si="12"/>
        <v/>
      </c>
      <c r="EE5" s="11" t="str">
        <f t="shared" si="12"/>
        <v/>
      </c>
      <c r="EF5" s="11" t="str">
        <f t="shared" si="12"/>
        <v/>
      </c>
      <c r="EG5" s="11" t="str">
        <f t="shared" si="12"/>
        <v/>
      </c>
      <c r="EH5" s="11" t="str">
        <f t="shared" si="12"/>
        <v/>
      </c>
    </row>
    <row r="6" spans="1:138" ht="13.5" customHeight="1">
      <c r="A6" s="55"/>
      <c r="B6" s="55"/>
      <c r="C6" s="55"/>
      <c r="D6" s="12" t="s">
        <v>80</v>
      </c>
      <c r="E6" s="10">
        <v>46249</v>
      </c>
      <c r="F6" s="10">
        <v>46249</v>
      </c>
      <c r="G6" s="13" t="str">
        <f t="shared" si="0"/>
        <v/>
      </c>
      <c r="H6" s="13" t="str">
        <f t="shared" si="0"/>
        <v/>
      </c>
      <c r="I6" s="13" t="str">
        <f t="shared" si="0"/>
        <v/>
      </c>
      <c r="J6" s="13" t="str">
        <f t="shared" si="0"/>
        <v/>
      </c>
      <c r="K6" s="13" t="str">
        <f t="shared" si="0"/>
        <v/>
      </c>
      <c r="L6" s="13" t="str">
        <f t="shared" si="0"/>
        <v/>
      </c>
      <c r="M6" s="13" t="str">
        <f t="shared" si="0"/>
        <v/>
      </c>
      <c r="N6" s="13" t="str">
        <f t="shared" si="0"/>
        <v/>
      </c>
      <c r="O6" s="13" t="str">
        <f t="shared" si="0"/>
        <v/>
      </c>
      <c r="P6" s="13" t="str">
        <f t="shared" si="0"/>
        <v/>
      </c>
      <c r="Q6" s="13" t="str">
        <f t="shared" si="1"/>
        <v/>
      </c>
      <c r="R6" s="13" t="str">
        <f t="shared" si="1"/>
        <v/>
      </c>
      <c r="S6" s="13" t="str">
        <f t="shared" si="1"/>
        <v/>
      </c>
      <c r="T6" s="13" t="str">
        <f t="shared" si="1"/>
        <v/>
      </c>
      <c r="U6" s="13" t="str">
        <f t="shared" si="1"/>
        <v>▪</v>
      </c>
      <c r="V6" s="13" t="str">
        <f t="shared" si="1"/>
        <v/>
      </c>
      <c r="W6" s="13" t="str">
        <f t="shared" si="1"/>
        <v/>
      </c>
      <c r="X6" s="13" t="str">
        <f t="shared" si="1"/>
        <v/>
      </c>
      <c r="Y6" s="13" t="str">
        <f t="shared" si="1"/>
        <v/>
      </c>
      <c r="Z6" s="13" t="str">
        <f t="shared" si="1"/>
        <v/>
      </c>
      <c r="AA6" s="13" t="str">
        <f t="shared" si="2"/>
        <v/>
      </c>
      <c r="AB6" s="13" t="str">
        <f t="shared" si="2"/>
        <v/>
      </c>
      <c r="AC6" s="13" t="str">
        <f t="shared" si="2"/>
        <v/>
      </c>
      <c r="AD6" s="13" t="str">
        <f t="shared" si="2"/>
        <v/>
      </c>
      <c r="AE6" s="13" t="str">
        <f t="shared" si="2"/>
        <v/>
      </c>
      <c r="AF6" s="13" t="str">
        <f t="shared" si="2"/>
        <v/>
      </c>
      <c r="AG6" s="13" t="str">
        <f t="shared" si="2"/>
        <v/>
      </c>
      <c r="AH6" s="13" t="str">
        <f t="shared" si="2"/>
        <v/>
      </c>
      <c r="AI6" s="13" t="str">
        <f t="shared" si="2"/>
        <v/>
      </c>
      <c r="AJ6" s="13" t="str">
        <f t="shared" si="2"/>
        <v/>
      </c>
      <c r="AK6" s="13" t="str">
        <f t="shared" si="3"/>
        <v/>
      </c>
      <c r="AL6" s="13" t="str">
        <f t="shared" si="3"/>
        <v/>
      </c>
      <c r="AM6" s="13" t="str">
        <f t="shared" si="3"/>
        <v/>
      </c>
      <c r="AN6" s="13" t="str">
        <f t="shared" si="3"/>
        <v/>
      </c>
      <c r="AO6" s="13" t="str">
        <f t="shared" si="3"/>
        <v/>
      </c>
      <c r="AP6" s="13" t="str">
        <f t="shared" si="3"/>
        <v/>
      </c>
      <c r="AQ6" s="13" t="str">
        <f t="shared" si="3"/>
        <v/>
      </c>
      <c r="AR6" s="13" t="str">
        <f t="shared" si="3"/>
        <v/>
      </c>
      <c r="AS6" s="13" t="str">
        <f t="shared" si="3"/>
        <v/>
      </c>
      <c r="AT6" s="13" t="str">
        <f t="shared" si="3"/>
        <v/>
      </c>
      <c r="AU6" s="13" t="str">
        <f t="shared" si="4"/>
        <v/>
      </c>
      <c r="AV6" s="13" t="str">
        <f t="shared" si="4"/>
        <v/>
      </c>
      <c r="AW6" s="13" t="str">
        <f t="shared" si="4"/>
        <v/>
      </c>
      <c r="AX6" s="13" t="str">
        <f t="shared" si="4"/>
        <v/>
      </c>
      <c r="AY6" s="13" t="str">
        <f t="shared" si="4"/>
        <v/>
      </c>
      <c r="AZ6" s="13" t="str">
        <f t="shared" si="4"/>
        <v/>
      </c>
      <c r="BA6" s="13" t="str">
        <f t="shared" si="4"/>
        <v/>
      </c>
      <c r="BB6" s="13" t="str">
        <f t="shared" si="4"/>
        <v/>
      </c>
      <c r="BC6" s="13" t="str">
        <f t="shared" si="4"/>
        <v/>
      </c>
      <c r="BD6" s="13" t="str">
        <f t="shared" si="4"/>
        <v/>
      </c>
      <c r="BE6" s="13" t="str">
        <f t="shared" si="5"/>
        <v/>
      </c>
      <c r="BF6" s="13" t="str">
        <f t="shared" si="5"/>
        <v/>
      </c>
      <c r="BG6" s="13" t="str">
        <f t="shared" si="5"/>
        <v/>
      </c>
      <c r="BH6" s="13" t="str">
        <f t="shared" si="5"/>
        <v/>
      </c>
      <c r="BI6" s="13" t="str">
        <f t="shared" si="5"/>
        <v/>
      </c>
      <c r="BJ6" s="13" t="str">
        <f t="shared" si="5"/>
        <v/>
      </c>
      <c r="BK6" s="13" t="str">
        <f t="shared" si="5"/>
        <v/>
      </c>
      <c r="BL6" s="13" t="str">
        <f t="shared" si="5"/>
        <v/>
      </c>
      <c r="BM6" s="13" t="str">
        <f t="shared" si="5"/>
        <v/>
      </c>
      <c r="BN6" s="13" t="str">
        <f t="shared" si="5"/>
        <v/>
      </c>
      <c r="BO6" s="13" t="str">
        <f t="shared" si="6"/>
        <v/>
      </c>
      <c r="BP6" s="13" t="str">
        <f t="shared" si="6"/>
        <v/>
      </c>
      <c r="BQ6" s="13" t="str">
        <f t="shared" si="6"/>
        <v/>
      </c>
      <c r="BR6" s="13" t="str">
        <f t="shared" si="6"/>
        <v/>
      </c>
      <c r="BS6" s="13" t="str">
        <f t="shared" si="6"/>
        <v/>
      </c>
      <c r="BT6" s="13" t="str">
        <f t="shared" si="6"/>
        <v/>
      </c>
      <c r="BU6" s="13" t="str">
        <f t="shared" si="6"/>
        <v/>
      </c>
      <c r="BV6" s="13" t="str">
        <f t="shared" si="6"/>
        <v/>
      </c>
      <c r="BW6" s="13" t="str">
        <f t="shared" si="6"/>
        <v/>
      </c>
      <c r="BX6" s="13" t="str">
        <f t="shared" si="6"/>
        <v/>
      </c>
      <c r="BY6" s="13" t="str">
        <f t="shared" si="7"/>
        <v/>
      </c>
      <c r="BZ6" s="13" t="str">
        <f t="shared" si="7"/>
        <v/>
      </c>
      <c r="CA6" s="13" t="str">
        <f t="shared" si="7"/>
        <v/>
      </c>
      <c r="CB6" s="13" t="str">
        <f t="shared" si="7"/>
        <v/>
      </c>
      <c r="CC6" s="13" t="str">
        <f t="shared" si="7"/>
        <v/>
      </c>
      <c r="CD6" s="13" t="str">
        <f t="shared" si="7"/>
        <v/>
      </c>
      <c r="CE6" s="13" t="str">
        <f t="shared" si="7"/>
        <v/>
      </c>
      <c r="CF6" s="13" t="str">
        <f t="shared" si="7"/>
        <v/>
      </c>
      <c r="CG6" s="13" t="str">
        <f t="shared" si="7"/>
        <v/>
      </c>
      <c r="CH6" s="13" t="str">
        <f t="shared" si="7"/>
        <v/>
      </c>
      <c r="CI6" s="13" t="str">
        <f t="shared" si="8"/>
        <v/>
      </c>
      <c r="CJ6" s="13" t="str">
        <f t="shared" si="8"/>
        <v/>
      </c>
      <c r="CK6" s="13" t="str">
        <f t="shared" si="8"/>
        <v/>
      </c>
      <c r="CL6" s="13" t="str">
        <f t="shared" si="8"/>
        <v/>
      </c>
      <c r="CM6" s="13" t="str">
        <f t="shared" si="8"/>
        <v/>
      </c>
      <c r="CN6" s="13" t="str">
        <f t="shared" si="8"/>
        <v/>
      </c>
      <c r="CO6" s="13" t="str">
        <f t="shared" si="8"/>
        <v/>
      </c>
      <c r="CP6" s="13" t="str">
        <f t="shared" si="8"/>
        <v/>
      </c>
      <c r="CQ6" s="13" t="str">
        <f t="shared" si="8"/>
        <v/>
      </c>
      <c r="CR6" s="13" t="str">
        <f t="shared" si="8"/>
        <v/>
      </c>
      <c r="CS6" s="13" t="str">
        <f t="shared" si="9"/>
        <v/>
      </c>
      <c r="CT6" s="13" t="str">
        <f t="shared" si="9"/>
        <v/>
      </c>
      <c r="CU6" s="13" t="str">
        <f t="shared" si="9"/>
        <v/>
      </c>
      <c r="CV6" s="13" t="str">
        <f t="shared" si="9"/>
        <v/>
      </c>
      <c r="CW6" s="13" t="str">
        <f t="shared" si="9"/>
        <v/>
      </c>
      <c r="CX6" s="13" t="str">
        <f t="shared" si="9"/>
        <v/>
      </c>
      <c r="CY6" s="13" t="str">
        <f t="shared" si="9"/>
        <v/>
      </c>
      <c r="CZ6" s="13" t="str">
        <f t="shared" si="9"/>
        <v/>
      </c>
      <c r="DA6" s="13" t="str">
        <f t="shared" si="9"/>
        <v/>
      </c>
      <c r="DB6" s="13" t="str">
        <f t="shared" si="9"/>
        <v/>
      </c>
      <c r="DC6" s="13" t="str">
        <f t="shared" si="10"/>
        <v/>
      </c>
      <c r="DD6" s="13" t="str">
        <f t="shared" si="10"/>
        <v/>
      </c>
      <c r="DE6" s="13" t="str">
        <f t="shared" si="10"/>
        <v/>
      </c>
      <c r="DF6" s="13" t="str">
        <f t="shared" si="10"/>
        <v/>
      </c>
      <c r="DG6" s="13" t="str">
        <f t="shared" si="10"/>
        <v/>
      </c>
      <c r="DH6" s="13" t="str">
        <f t="shared" si="10"/>
        <v/>
      </c>
      <c r="DI6" s="13" t="str">
        <f t="shared" si="10"/>
        <v/>
      </c>
      <c r="DJ6" s="13" t="str">
        <f t="shared" si="10"/>
        <v/>
      </c>
      <c r="DK6" s="13" t="str">
        <f t="shared" si="10"/>
        <v/>
      </c>
      <c r="DL6" s="13" t="str">
        <f t="shared" si="10"/>
        <v/>
      </c>
      <c r="DM6" s="13" t="str">
        <f t="shared" si="11"/>
        <v/>
      </c>
      <c r="DN6" s="13" t="str">
        <f t="shared" si="11"/>
        <v/>
      </c>
      <c r="DO6" s="13" t="str">
        <f t="shared" si="11"/>
        <v/>
      </c>
      <c r="DP6" s="13" t="str">
        <f t="shared" si="11"/>
        <v/>
      </c>
      <c r="DQ6" s="13" t="str">
        <f t="shared" si="11"/>
        <v/>
      </c>
      <c r="DR6" s="13" t="str">
        <f t="shared" si="11"/>
        <v/>
      </c>
      <c r="DS6" s="13" t="str">
        <f t="shared" si="11"/>
        <v/>
      </c>
      <c r="DT6" s="13" t="str">
        <f t="shared" si="11"/>
        <v/>
      </c>
      <c r="DU6" s="13" t="str">
        <f t="shared" si="11"/>
        <v/>
      </c>
      <c r="DV6" s="13" t="str">
        <f t="shared" si="11"/>
        <v/>
      </c>
      <c r="DW6" s="13" t="str">
        <f t="shared" si="12"/>
        <v/>
      </c>
      <c r="DX6" s="13" t="str">
        <f t="shared" si="12"/>
        <v/>
      </c>
      <c r="DY6" s="13" t="str">
        <f t="shared" si="12"/>
        <v/>
      </c>
      <c r="DZ6" s="13" t="str">
        <f t="shared" si="12"/>
        <v/>
      </c>
      <c r="EA6" s="13" t="str">
        <f t="shared" si="12"/>
        <v/>
      </c>
      <c r="EB6" s="13" t="str">
        <f t="shared" si="12"/>
        <v/>
      </c>
      <c r="EC6" s="13" t="str">
        <f t="shared" si="12"/>
        <v/>
      </c>
      <c r="ED6" s="13" t="str">
        <f t="shared" si="12"/>
        <v/>
      </c>
      <c r="EE6" s="13" t="str">
        <f t="shared" si="12"/>
        <v/>
      </c>
      <c r="EF6" s="13" t="str">
        <f t="shared" si="12"/>
        <v/>
      </c>
      <c r="EG6" s="13" t="str">
        <f t="shared" si="12"/>
        <v/>
      </c>
      <c r="EH6" s="13" t="str">
        <f t="shared" si="12"/>
        <v/>
      </c>
    </row>
    <row r="7" spans="1:138" ht="13.5" customHeight="1">
      <c r="A7" s="55" t="s">
        <v>81</v>
      </c>
      <c r="B7" s="56" t="s">
        <v>82</v>
      </c>
      <c r="C7" s="57" t="s">
        <v>83</v>
      </c>
      <c r="D7" s="9" t="s">
        <v>79</v>
      </c>
      <c r="E7" s="10">
        <v>46249</v>
      </c>
      <c r="F7" s="10">
        <v>46250</v>
      </c>
      <c r="G7" s="11" t="str">
        <f t="shared" si="0"/>
        <v/>
      </c>
      <c r="H7" s="11" t="str">
        <f t="shared" si="0"/>
        <v/>
      </c>
      <c r="I7" s="11" t="str">
        <f t="shared" si="0"/>
        <v/>
      </c>
      <c r="J7" s="11" t="str">
        <f t="shared" si="0"/>
        <v/>
      </c>
      <c r="K7" s="11" t="str">
        <f t="shared" si="0"/>
        <v/>
      </c>
      <c r="L7" s="11" t="str">
        <f t="shared" si="0"/>
        <v/>
      </c>
      <c r="M7" s="11" t="str">
        <f t="shared" si="0"/>
        <v/>
      </c>
      <c r="N7" s="11" t="str">
        <f t="shared" si="0"/>
        <v/>
      </c>
      <c r="O7" s="11" t="str">
        <f t="shared" si="0"/>
        <v/>
      </c>
      <c r="P7" s="11" t="str">
        <f t="shared" si="0"/>
        <v/>
      </c>
      <c r="Q7" s="11" t="str">
        <f t="shared" si="1"/>
        <v/>
      </c>
      <c r="R7" s="11" t="str">
        <f t="shared" si="1"/>
        <v/>
      </c>
      <c r="S7" s="11" t="str">
        <f t="shared" si="1"/>
        <v/>
      </c>
      <c r="T7" s="11" t="str">
        <f t="shared" si="1"/>
        <v/>
      </c>
      <c r="U7" s="11" t="str">
        <f t="shared" si="1"/>
        <v>▪</v>
      </c>
      <c r="V7" s="11" t="str">
        <f t="shared" si="1"/>
        <v>▪</v>
      </c>
      <c r="W7" s="11" t="str">
        <f t="shared" si="1"/>
        <v/>
      </c>
      <c r="X7" s="11" t="str">
        <f t="shared" si="1"/>
        <v/>
      </c>
      <c r="Y7" s="11" t="str">
        <f t="shared" si="1"/>
        <v/>
      </c>
      <c r="Z7" s="11" t="str">
        <f t="shared" si="1"/>
        <v/>
      </c>
      <c r="AA7" s="11" t="str">
        <f t="shared" si="2"/>
        <v/>
      </c>
      <c r="AB7" s="11" t="str">
        <f t="shared" si="2"/>
        <v/>
      </c>
      <c r="AC7" s="11" t="str">
        <f t="shared" si="2"/>
        <v/>
      </c>
      <c r="AD7" s="11" t="str">
        <f t="shared" si="2"/>
        <v/>
      </c>
      <c r="AE7" s="11" t="str">
        <f t="shared" si="2"/>
        <v/>
      </c>
      <c r="AF7" s="11" t="str">
        <f t="shared" si="2"/>
        <v/>
      </c>
      <c r="AG7" s="11" t="str">
        <f t="shared" si="2"/>
        <v/>
      </c>
      <c r="AH7" s="11" t="str">
        <f t="shared" si="2"/>
        <v/>
      </c>
      <c r="AI7" s="11" t="str">
        <f t="shared" si="2"/>
        <v/>
      </c>
      <c r="AJ7" s="11" t="str">
        <f t="shared" si="2"/>
        <v/>
      </c>
      <c r="AK7" s="11" t="str">
        <f t="shared" si="3"/>
        <v/>
      </c>
      <c r="AL7" s="11" t="str">
        <f t="shared" si="3"/>
        <v/>
      </c>
      <c r="AM7" s="11" t="str">
        <f t="shared" si="3"/>
        <v/>
      </c>
      <c r="AN7" s="11" t="str">
        <f t="shared" si="3"/>
        <v/>
      </c>
      <c r="AO7" s="11" t="str">
        <f t="shared" si="3"/>
        <v/>
      </c>
      <c r="AP7" s="11" t="str">
        <f t="shared" si="3"/>
        <v/>
      </c>
      <c r="AQ7" s="11" t="str">
        <f t="shared" si="3"/>
        <v/>
      </c>
      <c r="AR7" s="11" t="str">
        <f t="shared" si="3"/>
        <v/>
      </c>
      <c r="AS7" s="11" t="str">
        <f t="shared" si="3"/>
        <v/>
      </c>
      <c r="AT7" s="11" t="str">
        <f t="shared" si="3"/>
        <v/>
      </c>
      <c r="AU7" s="11" t="str">
        <f t="shared" si="4"/>
        <v/>
      </c>
      <c r="AV7" s="11" t="str">
        <f t="shared" si="4"/>
        <v/>
      </c>
      <c r="AW7" s="11" t="str">
        <f t="shared" si="4"/>
        <v/>
      </c>
      <c r="AX7" s="11" t="str">
        <f t="shared" si="4"/>
        <v/>
      </c>
      <c r="AY7" s="11" t="str">
        <f t="shared" si="4"/>
        <v/>
      </c>
      <c r="AZ7" s="11" t="str">
        <f t="shared" si="4"/>
        <v/>
      </c>
      <c r="BA7" s="11" t="str">
        <f t="shared" si="4"/>
        <v/>
      </c>
      <c r="BB7" s="11" t="str">
        <f t="shared" si="4"/>
        <v/>
      </c>
      <c r="BC7" s="11" t="str">
        <f t="shared" si="4"/>
        <v/>
      </c>
      <c r="BD7" s="11" t="str">
        <f t="shared" si="4"/>
        <v/>
      </c>
      <c r="BE7" s="11" t="str">
        <f t="shared" si="5"/>
        <v/>
      </c>
      <c r="BF7" s="11" t="str">
        <f t="shared" si="5"/>
        <v/>
      </c>
      <c r="BG7" s="11" t="str">
        <f t="shared" si="5"/>
        <v/>
      </c>
      <c r="BH7" s="11" t="str">
        <f t="shared" si="5"/>
        <v/>
      </c>
      <c r="BI7" s="11" t="str">
        <f t="shared" si="5"/>
        <v/>
      </c>
      <c r="BJ7" s="11" t="str">
        <f t="shared" si="5"/>
        <v/>
      </c>
      <c r="BK7" s="11" t="str">
        <f t="shared" si="5"/>
        <v/>
      </c>
      <c r="BL7" s="11" t="str">
        <f t="shared" si="5"/>
        <v/>
      </c>
      <c r="BM7" s="11" t="str">
        <f t="shared" si="5"/>
        <v/>
      </c>
      <c r="BN7" s="11" t="str">
        <f t="shared" si="5"/>
        <v/>
      </c>
      <c r="BO7" s="11" t="str">
        <f t="shared" si="6"/>
        <v/>
      </c>
      <c r="BP7" s="11" t="str">
        <f t="shared" si="6"/>
        <v/>
      </c>
      <c r="BQ7" s="11" t="str">
        <f t="shared" si="6"/>
        <v/>
      </c>
      <c r="BR7" s="11" t="str">
        <f t="shared" si="6"/>
        <v/>
      </c>
      <c r="BS7" s="11" t="str">
        <f t="shared" si="6"/>
        <v/>
      </c>
      <c r="BT7" s="11" t="str">
        <f t="shared" si="6"/>
        <v/>
      </c>
      <c r="BU7" s="11" t="str">
        <f t="shared" si="6"/>
        <v/>
      </c>
      <c r="BV7" s="11" t="str">
        <f t="shared" si="6"/>
        <v/>
      </c>
      <c r="BW7" s="11" t="str">
        <f t="shared" si="6"/>
        <v/>
      </c>
      <c r="BX7" s="11" t="str">
        <f t="shared" si="6"/>
        <v/>
      </c>
      <c r="BY7" s="11" t="str">
        <f t="shared" si="7"/>
        <v/>
      </c>
      <c r="BZ7" s="11" t="str">
        <f t="shared" si="7"/>
        <v/>
      </c>
      <c r="CA7" s="11" t="str">
        <f t="shared" si="7"/>
        <v/>
      </c>
      <c r="CB7" s="11" t="str">
        <f t="shared" si="7"/>
        <v/>
      </c>
      <c r="CC7" s="11" t="str">
        <f t="shared" si="7"/>
        <v/>
      </c>
      <c r="CD7" s="11" t="str">
        <f t="shared" si="7"/>
        <v/>
      </c>
      <c r="CE7" s="11" t="str">
        <f t="shared" si="7"/>
        <v/>
      </c>
      <c r="CF7" s="11" t="str">
        <f t="shared" si="7"/>
        <v/>
      </c>
      <c r="CG7" s="11" t="str">
        <f t="shared" si="7"/>
        <v/>
      </c>
      <c r="CH7" s="11" t="str">
        <f t="shared" si="7"/>
        <v/>
      </c>
      <c r="CI7" s="11" t="str">
        <f t="shared" si="8"/>
        <v/>
      </c>
      <c r="CJ7" s="11" t="str">
        <f t="shared" si="8"/>
        <v/>
      </c>
      <c r="CK7" s="11" t="str">
        <f t="shared" si="8"/>
        <v/>
      </c>
      <c r="CL7" s="11" t="str">
        <f t="shared" si="8"/>
        <v/>
      </c>
      <c r="CM7" s="11" t="str">
        <f t="shared" si="8"/>
        <v/>
      </c>
      <c r="CN7" s="11" t="str">
        <f t="shared" si="8"/>
        <v/>
      </c>
      <c r="CO7" s="11" t="str">
        <f t="shared" si="8"/>
        <v/>
      </c>
      <c r="CP7" s="11" t="str">
        <f t="shared" si="8"/>
        <v/>
      </c>
      <c r="CQ7" s="11" t="str">
        <f t="shared" si="8"/>
        <v/>
      </c>
      <c r="CR7" s="11" t="str">
        <f t="shared" si="8"/>
        <v/>
      </c>
      <c r="CS7" s="11" t="str">
        <f t="shared" si="9"/>
        <v/>
      </c>
      <c r="CT7" s="11" t="str">
        <f t="shared" si="9"/>
        <v/>
      </c>
      <c r="CU7" s="11" t="str">
        <f t="shared" si="9"/>
        <v/>
      </c>
      <c r="CV7" s="11" t="str">
        <f t="shared" si="9"/>
        <v/>
      </c>
      <c r="CW7" s="11" t="str">
        <f t="shared" si="9"/>
        <v/>
      </c>
      <c r="CX7" s="11" t="str">
        <f t="shared" si="9"/>
        <v/>
      </c>
      <c r="CY7" s="11" t="str">
        <f t="shared" si="9"/>
        <v/>
      </c>
      <c r="CZ7" s="11" t="str">
        <f t="shared" si="9"/>
        <v/>
      </c>
      <c r="DA7" s="11" t="str">
        <f t="shared" si="9"/>
        <v/>
      </c>
      <c r="DB7" s="11" t="str">
        <f t="shared" si="9"/>
        <v/>
      </c>
      <c r="DC7" s="11" t="str">
        <f t="shared" si="10"/>
        <v/>
      </c>
      <c r="DD7" s="11" t="str">
        <f t="shared" si="10"/>
        <v/>
      </c>
      <c r="DE7" s="11" t="str">
        <f t="shared" si="10"/>
        <v/>
      </c>
      <c r="DF7" s="11" t="str">
        <f t="shared" si="10"/>
        <v/>
      </c>
      <c r="DG7" s="11" t="str">
        <f t="shared" si="10"/>
        <v/>
      </c>
      <c r="DH7" s="11" t="str">
        <f t="shared" si="10"/>
        <v/>
      </c>
      <c r="DI7" s="11" t="str">
        <f t="shared" si="10"/>
        <v/>
      </c>
      <c r="DJ7" s="11" t="str">
        <f t="shared" si="10"/>
        <v/>
      </c>
      <c r="DK7" s="11" t="str">
        <f t="shared" si="10"/>
        <v/>
      </c>
      <c r="DL7" s="11" t="str">
        <f t="shared" si="10"/>
        <v/>
      </c>
      <c r="DM7" s="11" t="str">
        <f t="shared" si="11"/>
        <v/>
      </c>
      <c r="DN7" s="11" t="str">
        <f t="shared" si="11"/>
        <v/>
      </c>
      <c r="DO7" s="11" t="str">
        <f t="shared" si="11"/>
        <v/>
      </c>
      <c r="DP7" s="11" t="str">
        <f t="shared" si="11"/>
        <v/>
      </c>
      <c r="DQ7" s="11" t="str">
        <f t="shared" si="11"/>
        <v/>
      </c>
      <c r="DR7" s="11" t="str">
        <f t="shared" si="11"/>
        <v/>
      </c>
      <c r="DS7" s="11" t="str">
        <f t="shared" si="11"/>
        <v/>
      </c>
      <c r="DT7" s="11" t="str">
        <f t="shared" si="11"/>
        <v/>
      </c>
      <c r="DU7" s="11" t="str">
        <f t="shared" si="11"/>
        <v/>
      </c>
      <c r="DV7" s="11" t="str">
        <f t="shared" si="11"/>
        <v/>
      </c>
      <c r="DW7" s="11" t="str">
        <f t="shared" si="12"/>
        <v/>
      </c>
      <c r="DX7" s="11" t="str">
        <f t="shared" si="12"/>
        <v/>
      </c>
      <c r="DY7" s="11" t="str">
        <f t="shared" si="12"/>
        <v/>
      </c>
      <c r="DZ7" s="11" t="str">
        <f t="shared" si="12"/>
        <v/>
      </c>
      <c r="EA7" s="11" t="str">
        <f t="shared" si="12"/>
        <v/>
      </c>
      <c r="EB7" s="11" t="str">
        <f t="shared" si="12"/>
        <v/>
      </c>
      <c r="EC7" s="11" t="str">
        <f t="shared" si="12"/>
        <v/>
      </c>
      <c r="ED7" s="11" t="str">
        <f t="shared" si="12"/>
        <v/>
      </c>
      <c r="EE7" s="11" t="str">
        <f t="shared" si="12"/>
        <v/>
      </c>
      <c r="EF7" s="11" t="str">
        <f t="shared" si="12"/>
        <v/>
      </c>
      <c r="EG7" s="11" t="str">
        <f t="shared" si="12"/>
        <v/>
      </c>
      <c r="EH7" s="11" t="str">
        <f t="shared" si="12"/>
        <v/>
      </c>
    </row>
    <row r="8" spans="1:138" ht="13.5" customHeight="1">
      <c r="A8" s="55"/>
      <c r="B8" s="55"/>
      <c r="C8" s="55"/>
      <c r="D8" s="12" t="s">
        <v>80</v>
      </c>
      <c r="E8" s="10">
        <v>46249</v>
      </c>
      <c r="F8" s="10">
        <v>46249</v>
      </c>
      <c r="G8" s="13" t="str">
        <f t="shared" si="0"/>
        <v/>
      </c>
      <c r="H8" s="13" t="str">
        <f t="shared" si="0"/>
        <v/>
      </c>
      <c r="I8" s="13" t="str">
        <f t="shared" si="0"/>
        <v/>
      </c>
      <c r="J8" s="13" t="str">
        <f t="shared" si="0"/>
        <v/>
      </c>
      <c r="K8" s="13" t="str">
        <f t="shared" si="0"/>
        <v/>
      </c>
      <c r="L8" s="13" t="str">
        <f t="shared" si="0"/>
        <v/>
      </c>
      <c r="M8" s="13" t="str">
        <f t="shared" si="0"/>
        <v/>
      </c>
      <c r="N8" s="13" t="str">
        <f t="shared" si="0"/>
        <v/>
      </c>
      <c r="O8" s="13" t="str">
        <f t="shared" si="0"/>
        <v/>
      </c>
      <c r="P8" s="13" t="str">
        <f t="shared" si="0"/>
        <v/>
      </c>
      <c r="Q8" s="13" t="str">
        <f t="shared" si="1"/>
        <v/>
      </c>
      <c r="R8" s="13" t="str">
        <f t="shared" si="1"/>
        <v/>
      </c>
      <c r="S8" s="13" t="str">
        <f t="shared" si="1"/>
        <v/>
      </c>
      <c r="T8" s="13" t="str">
        <f t="shared" si="1"/>
        <v/>
      </c>
      <c r="U8" s="13" t="str">
        <f t="shared" si="1"/>
        <v>▪</v>
      </c>
      <c r="V8" s="13" t="str">
        <f t="shared" si="1"/>
        <v/>
      </c>
      <c r="W8" s="13" t="str">
        <f t="shared" si="1"/>
        <v/>
      </c>
      <c r="X8" s="13" t="str">
        <f t="shared" si="1"/>
        <v/>
      </c>
      <c r="Y8" s="13" t="str">
        <f t="shared" si="1"/>
        <v/>
      </c>
      <c r="Z8" s="13" t="str">
        <f t="shared" si="1"/>
        <v/>
      </c>
      <c r="AA8" s="13" t="str">
        <f t="shared" si="2"/>
        <v/>
      </c>
      <c r="AB8" s="13" t="str">
        <f t="shared" si="2"/>
        <v/>
      </c>
      <c r="AC8" s="13" t="str">
        <f t="shared" si="2"/>
        <v/>
      </c>
      <c r="AD8" s="13" t="str">
        <f t="shared" si="2"/>
        <v/>
      </c>
      <c r="AE8" s="13" t="str">
        <f t="shared" si="2"/>
        <v/>
      </c>
      <c r="AF8" s="13" t="str">
        <f t="shared" si="2"/>
        <v/>
      </c>
      <c r="AG8" s="13" t="str">
        <f t="shared" si="2"/>
        <v/>
      </c>
      <c r="AH8" s="13" t="str">
        <f t="shared" si="2"/>
        <v/>
      </c>
      <c r="AI8" s="13" t="str">
        <f t="shared" si="2"/>
        <v/>
      </c>
      <c r="AJ8" s="13" t="str">
        <f t="shared" si="2"/>
        <v/>
      </c>
      <c r="AK8" s="13" t="str">
        <f t="shared" si="3"/>
        <v/>
      </c>
      <c r="AL8" s="13" t="str">
        <f t="shared" si="3"/>
        <v/>
      </c>
      <c r="AM8" s="13" t="str">
        <f t="shared" si="3"/>
        <v/>
      </c>
      <c r="AN8" s="13" t="str">
        <f t="shared" si="3"/>
        <v/>
      </c>
      <c r="AO8" s="13" t="str">
        <f t="shared" si="3"/>
        <v/>
      </c>
      <c r="AP8" s="13" t="str">
        <f t="shared" si="3"/>
        <v/>
      </c>
      <c r="AQ8" s="13" t="str">
        <f t="shared" si="3"/>
        <v/>
      </c>
      <c r="AR8" s="13" t="str">
        <f t="shared" si="3"/>
        <v/>
      </c>
      <c r="AS8" s="13" t="str">
        <f t="shared" si="3"/>
        <v/>
      </c>
      <c r="AT8" s="13" t="str">
        <f t="shared" si="3"/>
        <v/>
      </c>
      <c r="AU8" s="13" t="str">
        <f t="shared" si="4"/>
        <v/>
      </c>
      <c r="AV8" s="13" t="str">
        <f t="shared" si="4"/>
        <v/>
      </c>
      <c r="AW8" s="13" t="str">
        <f t="shared" si="4"/>
        <v/>
      </c>
      <c r="AX8" s="13" t="str">
        <f t="shared" si="4"/>
        <v/>
      </c>
      <c r="AY8" s="13" t="str">
        <f t="shared" si="4"/>
        <v/>
      </c>
      <c r="AZ8" s="13" t="str">
        <f t="shared" si="4"/>
        <v/>
      </c>
      <c r="BA8" s="13" t="str">
        <f t="shared" si="4"/>
        <v/>
      </c>
      <c r="BB8" s="13" t="str">
        <f t="shared" si="4"/>
        <v/>
      </c>
      <c r="BC8" s="13" t="str">
        <f t="shared" si="4"/>
        <v/>
      </c>
      <c r="BD8" s="13" t="str">
        <f t="shared" si="4"/>
        <v/>
      </c>
      <c r="BE8" s="13" t="str">
        <f t="shared" si="5"/>
        <v/>
      </c>
      <c r="BF8" s="13" t="str">
        <f t="shared" si="5"/>
        <v/>
      </c>
      <c r="BG8" s="13" t="str">
        <f t="shared" si="5"/>
        <v/>
      </c>
      <c r="BH8" s="13" t="str">
        <f t="shared" si="5"/>
        <v/>
      </c>
      <c r="BI8" s="13" t="str">
        <f t="shared" si="5"/>
        <v/>
      </c>
      <c r="BJ8" s="13" t="str">
        <f t="shared" si="5"/>
        <v/>
      </c>
      <c r="BK8" s="13" t="str">
        <f t="shared" si="5"/>
        <v/>
      </c>
      <c r="BL8" s="13" t="str">
        <f t="shared" si="5"/>
        <v/>
      </c>
      <c r="BM8" s="13" t="str">
        <f t="shared" si="5"/>
        <v/>
      </c>
      <c r="BN8" s="13" t="str">
        <f t="shared" si="5"/>
        <v/>
      </c>
      <c r="BO8" s="13" t="str">
        <f t="shared" si="6"/>
        <v/>
      </c>
      <c r="BP8" s="13" t="str">
        <f t="shared" si="6"/>
        <v/>
      </c>
      <c r="BQ8" s="13" t="str">
        <f t="shared" si="6"/>
        <v/>
      </c>
      <c r="BR8" s="13" t="str">
        <f t="shared" si="6"/>
        <v/>
      </c>
      <c r="BS8" s="13" t="str">
        <f t="shared" si="6"/>
        <v/>
      </c>
      <c r="BT8" s="13" t="str">
        <f t="shared" si="6"/>
        <v/>
      </c>
      <c r="BU8" s="13" t="str">
        <f t="shared" si="6"/>
        <v/>
      </c>
      <c r="BV8" s="13" t="str">
        <f t="shared" si="6"/>
        <v/>
      </c>
      <c r="BW8" s="13" t="str">
        <f t="shared" si="6"/>
        <v/>
      </c>
      <c r="BX8" s="13" t="str">
        <f t="shared" si="6"/>
        <v/>
      </c>
      <c r="BY8" s="13" t="str">
        <f t="shared" si="7"/>
        <v/>
      </c>
      <c r="BZ8" s="13" t="str">
        <f t="shared" si="7"/>
        <v/>
      </c>
      <c r="CA8" s="13" t="str">
        <f t="shared" si="7"/>
        <v/>
      </c>
      <c r="CB8" s="13" t="str">
        <f t="shared" si="7"/>
        <v/>
      </c>
      <c r="CC8" s="13" t="str">
        <f t="shared" si="7"/>
        <v/>
      </c>
      <c r="CD8" s="13" t="str">
        <f t="shared" si="7"/>
        <v/>
      </c>
      <c r="CE8" s="13" t="str">
        <f t="shared" si="7"/>
        <v/>
      </c>
      <c r="CF8" s="13" t="str">
        <f t="shared" si="7"/>
        <v/>
      </c>
      <c r="CG8" s="13" t="str">
        <f t="shared" si="7"/>
        <v/>
      </c>
      <c r="CH8" s="13" t="str">
        <f t="shared" si="7"/>
        <v/>
      </c>
      <c r="CI8" s="13" t="str">
        <f t="shared" si="8"/>
        <v/>
      </c>
      <c r="CJ8" s="13" t="str">
        <f t="shared" si="8"/>
        <v/>
      </c>
      <c r="CK8" s="13" t="str">
        <f t="shared" si="8"/>
        <v/>
      </c>
      <c r="CL8" s="13" t="str">
        <f t="shared" si="8"/>
        <v/>
      </c>
      <c r="CM8" s="13" t="str">
        <f t="shared" si="8"/>
        <v/>
      </c>
      <c r="CN8" s="13" t="str">
        <f t="shared" si="8"/>
        <v/>
      </c>
      <c r="CO8" s="13" t="str">
        <f t="shared" si="8"/>
        <v/>
      </c>
      <c r="CP8" s="13" t="str">
        <f t="shared" si="8"/>
        <v/>
      </c>
      <c r="CQ8" s="13" t="str">
        <f t="shared" si="8"/>
        <v/>
      </c>
      <c r="CR8" s="13" t="str">
        <f t="shared" si="8"/>
        <v/>
      </c>
      <c r="CS8" s="13" t="str">
        <f t="shared" si="9"/>
        <v/>
      </c>
      <c r="CT8" s="13" t="str">
        <f t="shared" si="9"/>
        <v/>
      </c>
      <c r="CU8" s="13" t="str">
        <f t="shared" si="9"/>
        <v/>
      </c>
      <c r="CV8" s="13" t="str">
        <f t="shared" si="9"/>
        <v/>
      </c>
      <c r="CW8" s="13" t="str">
        <f t="shared" si="9"/>
        <v/>
      </c>
      <c r="CX8" s="13" t="str">
        <f t="shared" si="9"/>
        <v/>
      </c>
      <c r="CY8" s="13" t="str">
        <f t="shared" si="9"/>
        <v/>
      </c>
      <c r="CZ8" s="13" t="str">
        <f t="shared" si="9"/>
        <v/>
      </c>
      <c r="DA8" s="13" t="str">
        <f t="shared" si="9"/>
        <v/>
      </c>
      <c r="DB8" s="13" t="str">
        <f t="shared" si="9"/>
        <v/>
      </c>
      <c r="DC8" s="13" t="str">
        <f t="shared" si="10"/>
        <v/>
      </c>
      <c r="DD8" s="13" t="str">
        <f t="shared" si="10"/>
        <v/>
      </c>
      <c r="DE8" s="13" t="str">
        <f t="shared" si="10"/>
        <v/>
      </c>
      <c r="DF8" s="13" t="str">
        <f t="shared" si="10"/>
        <v/>
      </c>
      <c r="DG8" s="13" t="str">
        <f t="shared" si="10"/>
        <v/>
      </c>
      <c r="DH8" s="13" t="str">
        <f t="shared" si="10"/>
        <v/>
      </c>
      <c r="DI8" s="13" t="str">
        <f t="shared" si="10"/>
        <v/>
      </c>
      <c r="DJ8" s="13" t="str">
        <f t="shared" si="10"/>
        <v/>
      </c>
      <c r="DK8" s="13" t="str">
        <f t="shared" si="10"/>
        <v/>
      </c>
      <c r="DL8" s="13" t="str">
        <f t="shared" si="10"/>
        <v/>
      </c>
      <c r="DM8" s="13" t="str">
        <f t="shared" si="11"/>
        <v/>
      </c>
      <c r="DN8" s="13" t="str">
        <f t="shared" si="11"/>
        <v/>
      </c>
      <c r="DO8" s="13" t="str">
        <f t="shared" si="11"/>
        <v/>
      </c>
      <c r="DP8" s="13" t="str">
        <f t="shared" si="11"/>
        <v/>
      </c>
      <c r="DQ8" s="13" t="str">
        <f t="shared" si="11"/>
        <v/>
      </c>
      <c r="DR8" s="13" t="str">
        <f t="shared" si="11"/>
        <v/>
      </c>
      <c r="DS8" s="13" t="str">
        <f t="shared" si="11"/>
        <v/>
      </c>
      <c r="DT8" s="13" t="str">
        <f t="shared" si="11"/>
        <v/>
      </c>
      <c r="DU8" s="13" t="str">
        <f t="shared" si="11"/>
        <v/>
      </c>
      <c r="DV8" s="13" t="str">
        <f t="shared" si="11"/>
        <v/>
      </c>
      <c r="DW8" s="13" t="str">
        <f t="shared" si="12"/>
        <v/>
      </c>
      <c r="DX8" s="13" t="str">
        <f t="shared" si="12"/>
        <v/>
      </c>
      <c r="DY8" s="13" t="str">
        <f t="shared" si="12"/>
        <v/>
      </c>
      <c r="DZ8" s="13" t="str">
        <f t="shared" si="12"/>
        <v/>
      </c>
      <c r="EA8" s="13" t="str">
        <f t="shared" si="12"/>
        <v/>
      </c>
      <c r="EB8" s="13" t="str">
        <f t="shared" si="12"/>
        <v/>
      </c>
      <c r="EC8" s="13" t="str">
        <f t="shared" si="12"/>
        <v/>
      </c>
      <c r="ED8" s="13" t="str">
        <f t="shared" si="12"/>
        <v/>
      </c>
      <c r="EE8" s="13" t="str">
        <f t="shared" si="12"/>
        <v/>
      </c>
      <c r="EF8" s="13" t="str">
        <f t="shared" si="12"/>
        <v/>
      </c>
      <c r="EG8" s="13" t="str">
        <f t="shared" si="12"/>
        <v/>
      </c>
      <c r="EH8" s="13" t="str">
        <f t="shared" si="12"/>
        <v/>
      </c>
    </row>
    <row r="9" spans="1:138" ht="13.5" customHeight="1">
      <c r="A9" s="55" t="s">
        <v>84</v>
      </c>
      <c r="B9" s="56" t="s">
        <v>85</v>
      </c>
      <c r="C9" s="57" t="s">
        <v>86</v>
      </c>
      <c r="D9" s="9" t="s">
        <v>79</v>
      </c>
      <c r="E9" s="10">
        <v>46249</v>
      </c>
      <c r="F9" s="10">
        <v>46249</v>
      </c>
      <c r="G9" s="11" t="str">
        <f t="shared" si="0"/>
        <v/>
      </c>
      <c r="H9" s="11" t="str">
        <f t="shared" si="0"/>
        <v/>
      </c>
      <c r="I9" s="11" t="str">
        <f t="shared" si="0"/>
        <v/>
      </c>
      <c r="J9" s="11" t="str">
        <f t="shared" si="0"/>
        <v/>
      </c>
      <c r="K9" s="11" t="str">
        <f t="shared" si="0"/>
        <v/>
      </c>
      <c r="L9" s="11" t="str">
        <f t="shared" si="0"/>
        <v/>
      </c>
      <c r="M9" s="11" t="str">
        <f t="shared" si="0"/>
        <v/>
      </c>
      <c r="N9" s="11" t="str">
        <f t="shared" si="0"/>
        <v/>
      </c>
      <c r="O9" s="11" t="str">
        <f t="shared" si="0"/>
        <v/>
      </c>
      <c r="P9" s="11" t="str">
        <f t="shared" si="0"/>
        <v/>
      </c>
      <c r="Q9" s="11" t="str">
        <f t="shared" si="1"/>
        <v/>
      </c>
      <c r="R9" s="11" t="str">
        <f t="shared" si="1"/>
        <v/>
      </c>
      <c r="S9" s="11" t="str">
        <f t="shared" si="1"/>
        <v/>
      </c>
      <c r="T9" s="11" t="str">
        <f t="shared" si="1"/>
        <v/>
      </c>
      <c r="U9" s="11" t="str">
        <f t="shared" si="1"/>
        <v>▪</v>
      </c>
      <c r="V9" s="11" t="str">
        <f t="shared" si="1"/>
        <v/>
      </c>
      <c r="W9" s="11" t="str">
        <f t="shared" si="1"/>
        <v/>
      </c>
      <c r="X9" s="11" t="str">
        <f t="shared" si="1"/>
        <v/>
      </c>
      <c r="Y9" s="11" t="str">
        <f t="shared" si="1"/>
        <v/>
      </c>
      <c r="Z9" s="11" t="str">
        <f t="shared" si="1"/>
        <v/>
      </c>
      <c r="AA9" s="11" t="str">
        <f t="shared" si="2"/>
        <v/>
      </c>
      <c r="AB9" s="11" t="str">
        <f t="shared" si="2"/>
        <v/>
      </c>
      <c r="AC9" s="11" t="str">
        <f t="shared" si="2"/>
        <v/>
      </c>
      <c r="AD9" s="11" t="str">
        <f t="shared" si="2"/>
        <v/>
      </c>
      <c r="AE9" s="11" t="str">
        <f t="shared" si="2"/>
        <v/>
      </c>
      <c r="AF9" s="11" t="str">
        <f t="shared" si="2"/>
        <v/>
      </c>
      <c r="AG9" s="11" t="str">
        <f t="shared" si="2"/>
        <v/>
      </c>
      <c r="AH9" s="11" t="str">
        <f t="shared" si="2"/>
        <v/>
      </c>
      <c r="AI9" s="11" t="str">
        <f t="shared" si="2"/>
        <v/>
      </c>
      <c r="AJ9" s="11" t="str">
        <f t="shared" si="2"/>
        <v/>
      </c>
      <c r="AK9" s="11" t="str">
        <f t="shared" si="3"/>
        <v/>
      </c>
      <c r="AL9" s="11" t="str">
        <f t="shared" si="3"/>
        <v/>
      </c>
      <c r="AM9" s="11" t="str">
        <f t="shared" si="3"/>
        <v/>
      </c>
      <c r="AN9" s="11" t="str">
        <f t="shared" si="3"/>
        <v/>
      </c>
      <c r="AO9" s="11" t="str">
        <f t="shared" si="3"/>
        <v/>
      </c>
      <c r="AP9" s="11" t="str">
        <f t="shared" si="3"/>
        <v/>
      </c>
      <c r="AQ9" s="11" t="str">
        <f t="shared" si="3"/>
        <v/>
      </c>
      <c r="AR9" s="11" t="str">
        <f t="shared" si="3"/>
        <v/>
      </c>
      <c r="AS9" s="11" t="str">
        <f t="shared" si="3"/>
        <v/>
      </c>
      <c r="AT9" s="11" t="str">
        <f t="shared" si="3"/>
        <v/>
      </c>
      <c r="AU9" s="11" t="str">
        <f t="shared" si="4"/>
        <v/>
      </c>
      <c r="AV9" s="11" t="str">
        <f t="shared" si="4"/>
        <v/>
      </c>
      <c r="AW9" s="11" t="str">
        <f t="shared" si="4"/>
        <v/>
      </c>
      <c r="AX9" s="11" t="str">
        <f t="shared" si="4"/>
        <v/>
      </c>
      <c r="AY9" s="11" t="str">
        <f t="shared" si="4"/>
        <v/>
      </c>
      <c r="AZ9" s="11" t="str">
        <f t="shared" si="4"/>
        <v/>
      </c>
      <c r="BA9" s="11" t="str">
        <f t="shared" si="4"/>
        <v/>
      </c>
      <c r="BB9" s="11" t="str">
        <f t="shared" si="4"/>
        <v/>
      </c>
      <c r="BC9" s="11" t="str">
        <f t="shared" si="4"/>
        <v/>
      </c>
      <c r="BD9" s="11" t="str">
        <f t="shared" si="4"/>
        <v/>
      </c>
      <c r="BE9" s="11" t="str">
        <f t="shared" si="5"/>
        <v/>
      </c>
      <c r="BF9" s="11" t="str">
        <f t="shared" si="5"/>
        <v/>
      </c>
      <c r="BG9" s="11" t="str">
        <f t="shared" si="5"/>
        <v/>
      </c>
      <c r="BH9" s="11" t="str">
        <f t="shared" si="5"/>
        <v/>
      </c>
      <c r="BI9" s="11" t="str">
        <f t="shared" si="5"/>
        <v/>
      </c>
      <c r="BJ9" s="11" t="str">
        <f t="shared" si="5"/>
        <v/>
      </c>
      <c r="BK9" s="11" t="str">
        <f t="shared" si="5"/>
        <v/>
      </c>
      <c r="BL9" s="11" t="str">
        <f t="shared" si="5"/>
        <v/>
      </c>
      <c r="BM9" s="11" t="str">
        <f t="shared" si="5"/>
        <v/>
      </c>
      <c r="BN9" s="11" t="str">
        <f t="shared" si="5"/>
        <v/>
      </c>
      <c r="BO9" s="11" t="str">
        <f t="shared" si="6"/>
        <v/>
      </c>
      <c r="BP9" s="11" t="str">
        <f t="shared" si="6"/>
        <v/>
      </c>
      <c r="BQ9" s="11" t="str">
        <f t="shared" si="6"/>
        <v/>
      </c>
      <c r="BR9" s="11" t="str">
        <f t="shared" si="6"/>
        <v/>
      </c>
      <c r="BS9" s="11" t="str">
        <f t="shared" si="6"/>
        <v/>
      </c>
      <c r="BT9" s="11" t="str">
        <f t="shared" si="6"/>
        <v/>
      </c>
      <c r="BU9" s="11" t="str">
        <f t="shared" si="6"/>
        <v/>
      </c>
      <c r="BV9" s="11" t="str">
        <f t="shared" si="6"/>
        <v/>
      </c>
      <c r="BW9" s="11" t="str">
        <f t="shared" si="6"/>
        <v/>
      </c>
      <c r="BX9" s="11" t="str">
        <f t="shared" si="6"/>
        <v/>
      </c>
      <c r="BY9" s="11" t="str">
        <f t="shared" si="7"/>
        <v/>
      </c>
      <c r="BZ9" s="11" t="str">
        <f t="shared" si="7"/>
        <v/>
      </c>
      <c r="CA9" s="11" t="str">
        <f t="shared" si="7"/>
        <v/>
      </c>
      <c r="CB9" s="11" t="str">
        <f t="shared" si="7"/>
        <v/>
      </c>
      <c r="CC9" s="11" t="str">
        <f t="shared" si="7"/>
        <v/>
      </c>
      <c r="CD9" s="11" t="str">
        <f t="shared" si="7"/>
        <v/>
      </c>
      <c r="CE9" s="11" t="str">
        <f t="shared" si="7"/>
        <v/>
      </c>
      <c r="CF9" s="11" t="str">
        <f t="shared" si="7"/>
        <v/>
      </c>
      <c r="CG9" s="11" t="str">
        <f t="shared" si="7"/>
        <v/>
      </c>
      <c r="CH9" s="11" t="str">
        <f t="shared" si="7"/>
        <v/>
      </c>
      <c r="CI9" s="11" t="str">
        <f t="shared" si="8"/>
        <v/>
      </c>
      <c r="CJ9" s="11" t="str">
        <f t="shared" si="8"/>
        <v/>
      </c>
      <c r="CK9" s="11" t="str">
        <f t="shared" si="8"/>
        <v/>
      </c>
      <c r="CL9" s="11" t="str">
        <f t="shared" si="8"/>
        <v/>
      </c>
      <c r="CM9" s="11" t="str">
        <f t="shared" si="8"/>
        <v/>
      </c>
      <c r="CN9" s="11" t="str">
        <f t="shared" si="8"/>
        <v/>
      </c>
      <c r="CO9" s="11" t="str">
        <f t="shared" si="8"/>
        <v/>
      </c>
      <c r="CP9" s="11" t="str">
        <f t="shared" si="8"/>
        <v/>
      </c>
      <c r="CQ9" s="11" t="str">
        <f t="shared" si="8"/>
        <v/>
      </c>
      <c r="CR9" s="11" t="str">
        <f t="shared" si="8"/>
        <v/>
      </c>
      <c r="CS9" s="11" t="str">
        <f t="shared" si="9"/>
        <v/>
      </c>
      <c r="CT9" s="11" t="str">
        <f t="shared" si="9"/>
        <v/>
      </c>
      <c r="CU9" s="11" t="str">
        <f t="shared" si="9"/>
        <v/>
      </c>
      <c r="CV9" s="11" t="str">
        <f t="shared" si="9"/>
        <v/>
      </c>
      <c r="CW9" s="11" t="str">
        <f t="shared" si="9"/>
        <v/>
      </c>
      <c r="CX9" s="11" t="str">
        <f t="shared" si="9"/>
        <v/>
      </c>
      <c r="CY9" s="11" t="str">
        <f t="shared" si="9"/>
        <v/>
      </c>
      <c r="CZ9" s="11" t="str">
        <f t="shared" si="9"/>
        <v/>
      </c>
      <c r="DA9" s="11" t="str">
        <f t="shared" si="9"/>
        <v/>
      </c>
      <c r="DB9" s="11" t="str">
        <f t="shared" si="9"/>
        <v/>
      </c>
      <c r="DC9" s="11" t="str">
        <f t="shared" si="10"/>
        <v/>
      </c>
      <c r="DD9" s="11" t="str">
        <f t="shared" si="10"/>
        <v/>
      </c>
      <c r="DE9" s="11" t="str">
        <f t="shared" si="10"/>
        <v/>
      </c>
      <c r="DF9" s="11" t="str">
        <f t="shared" si="10"/>
        <v/>
      </c>
      <c r="DG9" s="11" t="str">
        <f t="shared" si="10"/>
        <v/>
      </c>
      <c r="DH9" s="11" t="str">
        <f t="shared" si="10"/>
        <v/>
      </c>
      <c r="DI9" s="11" t="str">
        <f t="shared" si="10"/>
        <v/>
      </c>
      <c r="DJ9" s="11" t="str">
        <f t="shared" si="10"/>
        <v/>
      </c>
      <c r="DK9" s="11" t="str">
        <f t="shared" si="10"/>
        <v/>
      </c>
      <c r="DL9" s="11" t="str">
        <f t="shared" si="10"/>
        <v/>
      </c>
      <c r="DM9" s="11" t="str">
        <f t="shared" si="11"/>
        <v/>
      </c>
      <c r="DN9" s="11" t="str">
        <f t="shared" si="11"/>
        <v/>
      </c>
      <c r="DO9" s="11" t="str">
        <f t="shared" si="11"/>
        <v/>
      </c>
      <c r="DP9" s="11" t="str">
        <f t="shared" si="11"/>
        <v/>
      </c>
      <c r="DQ9" s="11" t="str">
        <f t="shared" si="11"/>
        <v/>
      </c>
      <c r="DR9" s="11" t="str">
        <f t="shared" si="11"/>
        <v/>
      </c>
      <c r="DS9" s="11" t="str">
        <f t="shared" si="11"/>
        <v/>
      </c>
      <c r="DT9" s="11" t="str">
        <f t="shared" si="11"/>
        <v/>
      </c>
      <c r="DU9" s="11" t="str">
        <f t="shared" si="11"/>
        <v/>
      </c>
      <c r="DV9" s="11" t="str">
        <f t="shared" si="11"/>
        <v/>
      </c>
      <c r="DW9" s="11" t="str">
        <f t="shared" si="12"/>
        <v/>
      </c>
      <c r="DX9" s="11" t="str">
        <f t="shared" si="12"/>
        <v/>
      </c>
      <c r="DY9" s="11" t="str">
        <f t="shared" si="12"/>
        <v/>
      </c>
      <c r="DZ9" s="11" t="str">
        <f t="shared" si="12"/>
        <v/>
      </c>
      <c r="EA9" s="11" t="str">
        <f t="shared" si="12"/>
        <v/>
      </c>
      <c r="EB9" s="11" t="str">
        <f t="shared" si="12"/>
        <v/>
      </c>
      <c r="EC9" s="11" t="str">
        <f t="shared" si="12"/>
        <v/>
      </c>
      <c r="ED9" s="11" t="str">
        <f t="shared" si="12"/>
        <v/>
      </c>
      <c r="EE9" s="11" t="str">
        <f t="shared" si="12"/>
        <v/>
      </c>
      <c r="EF9" s="11" t="str">
        <f t="shared" si="12"/>
        <v/>
      </c>
      <c r="EG9" s="11" t="str">
        <f t="shared" si="12"/>
        <v/>
      </c>
      <c r="EH9" s="11" t="str">
        <f t="shared" si="12"/>
        <v/>
      </c>
    </row>
    <row r="10" spans="1:138" ht="13.5" customHeight="1">
      <c r="A10" s="55"/>
      <c r="B10" s="55"/>
      <c r="C10" s="55"/>
      <c r="D10" s="12" t="s">
        <v>80</v>
      </c>
      <c r="E10" s="10">
        <v>46249</v>
      </c>
      <c r="F10" s="10">
        <v>46249</v>
      </c>
      <c r="G10" s="13" t="str">
        <f t="shared" si="0"/>
        <v/>
      </c>
      <c r="H10" s="13" t="str">
        <f t="shared" si="0"/>
        <v/>
      </c>
      <c r="I10" s="13" t="str">
        <f t="shared" si="0"/>
        <v/>
      </c>
      <c r="J10" s="13" t="str">
        <f t="shared" si="0"/>
        <v/>
      </c>
      <c r="K10" s="13" t="str">
        <f t="shared" si="0"/>
        <v/>
      </c>
      <c r="L10" s="13" t="str">
        <f t="shared" si="0"/>
        <v/>
      </c>
      <c r="M10" s="13" t="str">
        <f t="shared" si="0"/>
        <v/>
      </c>
      <c r="N10" s="13" t="str">
        <f t="shared" si="0"/>
        <v/>
      </c>
      <c r="O10" s="13" t="str">
        <f t="shared" si="0"/>
        <v/>
      </c>
      <c r="P10" s="13" t="str">
        <f t="shared" si="0"/>
        <v/>
      </c>
      <c r="Q10" s="13" t="str">
        <f t="shared" si="1"/>
        <v/>
      </c>
      <c r="R10" s="13" t="str">
        <f t="shared" si="1"/>
        <v/>
      </c>
      <c r="S10" s="13" t="str">
        <f t="shared" si="1"/>
        <v/>
      </c>
      <c r="T10" s="13" t="str">
        <f t="shared" si="1"/>
        <v/>
      </c>
      <c r="U10" s="13" t="str">
        <f t="shared" si="1"/>
        <v>▪</v>
      </c>
      <c r="V10" s="13" t="str">
        <f t="shared" si="1"/>
        <v/>
      </c>
      <c r="W10" s="13" t="str">
        <f t="shared" si="1"/>
        <v/>
      </c>
      <c r="X10" s="13" t="str">
        <f t="shared" si="1"/>
        <v/>
      </c>
      <c r="Y10" s="13" t="str">
        <f t="shared" si="1"/>
        <v/>
      </c>
      <c r="Z10" s="13" t="str">
        <f t="shared" si="1"/>
        <v/>
      </c>
      <c r="AA10" s="13" t="str">
        <f t="shared" si="2"/>
        <v/>
      </c>
      <c r="AB10" s="13" t="str">
        <f t="shared" si="2"/>
        <v/>
      </c>
      <c r="AC10" s="13" t="str">
        <f t="shared" si="2"/>
        <v/>
      </c>
      <c r="AD10" s="13" t="str">
        <f t="shared" si="2"/>
        <v/>
      </c>
      <c r="AE10" s="13" t="str">
        <f t="shared" si="2"/>
        <v/>
      </c>
      <c r="AF10" s="13" t="str">
        <f t="shared" si="2"/>
        <v/>
      </c>
      <c r="AG10" s="13" t="str">
        <f t="shared" si="2"/>
        <v/>
      </c>
      <c r="AH10" s="13" t="str">
        <f t="shared" si="2"/>
        <v/>
      </c>
      <c r="AI10" s="13" t="str">
        <f t="shared" si="2"/>
        <v/>
      </c>
      <c r="AJ10" s="13" t="str">
        <f t="shared" si="2"/>
        <v/>
      </c>
      <c r="AK10" s="13" t="str">
        <f t="shared" si="3"/>
        <v/>
      </c>
      <c r="AL10" s="13" t="str">
        <f t="shared" si="3"/>
        <v/>
      </c>
      <c r="AM10" s="13" t="str">
        <f t="shared" si="3"/>
        <v/>
      </c>
      <c r="AN10" s="13" t="str">
        <f t="shared" si="3"/>
        <v/>
      </c>
      <c r="AO10" s="13" t="str">
        <f t="shared" si="3"/>
        <v/>
      </c>
      <c r="AP10" s="13" t="str">
        <f t="shared" si="3"/>
        <v/>
      </c>
      <c r="AQ10" s="13" t="str">
        <f t="shared" si="3"/>
        <v/>
      </c>
      <c r="AR10" s="13" t="str">
        <f t="shared" si="3"/>
        <v/>
      </c>
      <c r="AS10" s="13" t="str">
        <f t="shared" si="3"/>
        <v/>
      </c>
      <c r="AT10" s="13" t="str">
        <f t="shared" si="3"/>
        <v/>
      </c>
      <c r="AU10" s="13" t="str">
        <f t="shared" si="4"/>
        <v/>
      </c>
      <c r="AV10" s="13" t="str">
        <f t="shared" si="4"/>
        <v/>
      </c>
      <c r="AW10" s="13" t="str">
        <f t="shared" si="4"/>
        <v/>
      </c>
      <c r="AX10" s="13" t="str">
        <f t="shared" si="4"/>
        <v/>
      </c>
      <c r="AY10" s="13" t="str">
        <f t="shared" si="4"/>
        <v/>
      </c>
      <c r="AZ10" s="13" t="str">
        <f t="shared" si="4"/>
        <v/>
      </c>
      <c r="BA10" s="13" t="str">
        <f t="shared" si="4"/>
        <v/>
      </c>
      <c r="BB10" s="13" t="str">
        <f t="shared" si="4"/>
        <v/>
      </c>
      <c r="BC10" s="13" t="str">
        <f t="shared" si="4"/>
        <v/>
      </c>
      <c r="BD10" s="13" t="str">
        <f t="shared" si="4"/>
        <v/>
      </c>
      <c r="BE10" s="13" t="str">
        <f t="shared" si="5"/>
        <v/>
      </c>
      <c r="BF10" s="13" t="str">
        <f t="shared" si="5"/>
        <v/>
      </c>
      <c r="BG10" s="13" t="str">
        <f t="shared" si="5"/>
        <v/>
      </c>
      <c r="BH10" s="13" t="str">
        <f t="shared" si="5"/>
        <v/>
      </c>
      <c r="BI10" s="13" t="str">
        <f t="shared" si="5"/>
        <v/>
      </c>
      <c r="BJ10" s="13" t="str">
        <f t="shared" si="5"/>
        <v/>
      </c>
      <c r="BK10" s="13" t="str">
        <f t="shared" si="5"/>
        <v/>
      </c>
      <c r="BL10" s="13" t="str">
        <f t="shared" si="5"/>
        <v/>
      </c>
      <c r="BM10" s="13" t="str">
        <f t="shared" si="5"/>
        <v/>
      </c>
      <c r="BN10" s="13" t="str">
        <f t="shared" si="5"/>
        <v/>
      </c>
      <c r="BO10" s="13" t="str">
        <f t="shared" si="6"/>
        <v/>
      </c>
      <c r="BP10" s="13" t="str">
        <f t="shared" si="6"/>
        <v/>
      </c>
      <c r="BQ10" s="13" t="str">
        <f t="shared" si="6"/>
        <v/>
      </c>
      <c r="BR10" s="13" t="str">
        <f t="shared" si="6"/>
        <v/>
      </c>
      <c r="BS10" s="13" t="str">
        <f t="shared" si="6"/>
        <v/>
      </c>
      <c r="BT10" s="13" t="str">
        <f t="shared" si="6"/>
        <v/>
      </c>
      <c r="BU10" s="13" t="str">
        <f t="shared" si="6"/>
        <v/>
      </c>
      <c r="BV10" s="13" t="str">
        <f t="shared" si="6"/>
        <v/>
      </c>
      <c r="BW10" s="13" t="str">
        <f t="shared" si="6"/>
        <v/>
      </c>
      <c r="BX10" s="13" t="str">
        <f t="shared" si="6"/>
        <v/>
      </c>
      <c r="BY10" s="13" t="str">
        <f t="shared" si="7"/>
        <v/>
      </c>
      <c r="BZ10" s="13" t="str">
        <f t="shared" si="7"/>
        <v/>
      </c>
      <c r="CA10" s="13" t="str">
        <f t="shared" si="7"/>
        <v/>
      </c>
      <c r="CB10" s="13" t="str">
        <f t="shared" si="7"/>
        <v/>
      </c>
      <c r="CC10" s="13" t="str">
        <f t="shared" si="7"/>
        <v/>
      </c>
      <c r="CD10" s="13" t="str">
        <f t="shared" si="7"/>
        <v/>
      </c>
      <c r="CE10" s="13" t="str">
        <f t="shared" si="7"/>
        <v/>
      </c>
      <c r="CF10" s="13" t="str">
        <f t="shared" si="7"/>
        <v/>
      </c>
      <c r="CG10" s="13" t="str">
        <f t="shared" si="7"/>
        <v/>
      </c>
      <c r="CH10" s="13" t="str">
        <f t="shared" si="7"/>
        <v/>
      </c>
      <c r="CI10" s="13" t="str">
        <f t="shared" si="8"/>
        <v/>
      </c>
      <c r="CJ10" s="13" t="str">
        <f t="shared" si="8"/>
        <v/>
      </c>
      <c r="CK10" s="13" t="str">
        <f t="shared" si="8"/>
        <v/>
      </c>
      <c r="CL10" s="13" t="str">
        <f t="shared" si="8"/>
        <v/>
      </c>
      <c r="CM10" s="13" t="str">
        <f t="shared" si="8"/>
        <v/>
      </c>
      <c r="CN10" s="13" t="str">
        <f t="shared" si="8"/>
        <v/>
      </c>
      <c r="CO10" s="13" t="str">
        <f t="shared" si="8"/>
        <v/>
      </c>
      <c r="CP10" s="13" t="str">
        <f t="shared" si="8"/>
        <v/>
      </c>
      <c r="CQ10" s="13" t="str">
        <f t="shared" si="8"/>
        <v/>
      </c>
      <c r="CR10" s="13" t="str">
        <f t="shared" si="8"/>
        <v/>
      </c>
      <c r="CS10" s="13" t="str">
        <f t="shared" si="9"/>
        <v/>
      </c>
      <c r="CT10" s="13" t="str">
        <f t="shared" si="9"/>
        <v/>
      </c>
      <c r="CU10" s="13" t="str">
        <f t="shared" si="9"/>
        <v/>
      </c>
      <c r="CV10" s="13" t="str">
        <f t="shared" si="9"/>
        <v/>
      </c>
      <c r="CW10" s="13" t="str">
        <f t="shared" si="9"/>
        <v/>
      </c>
      <c r="CX10" s="13" t="str">
        <f t="shared" si="9"/>
        <v/>
      </c>
      <c r="CY10" s="13" t="str">
        <f t="shared" si="9"/>
        <v/>
      </c>
      <c r="CZ10" s="13" t="str">
        <f t="shared" si="9"/>
        <v/>
      </c>
      <c r="DA10" s="13" t="str">
        <f t="shared" si="9"/>
        <v/>
      </c>
      <c r="DB10" s="13" t="str">
        <f t="shared" si="9"/>
        <v/>
      </c>
      <c r="DC10" s="13" t="str">
        <f t="shared" si="10"/>
        <v/>
      </c>
      <c r="DD10" s="13" t="str">
        <f t="shared" si="10"/>
        <v/>
      </c>
      <c r="DE10" s="13" t="str">
        <f t="shared" si="10"/>
        <v/>
      </c>
      <c r="DF10" s="13" t="str">
        <f t="shared" si="10"/>
        <v/>
      </c>
      <c r="DG10" s="13" t="str">
        <f t="shared" si="10"/>
        <v/>
      </c>
      <c r="DH10" s="13" t="str">
        <f t="shared" si="10"/>
        <v/>
      </c>
      <c r="DI10" s="13" t="str">
        <f t="shared" si="10"/>
        <v/>
      </c>
      <c r="DJ10" s="13" t="str">
        <f t="shared" si="10"/>
        <v/>
      </c>
      <c r="DK10" s="13" t="str">
        <f t="shared" si="10"/>
        <v/>
      </c>
      <c r="DL10" s="13" t="str">
        <f t="shared" si="10"/>
        <v/>
      </c>
      <c r="DM10" s="13" t="str">
        <f t="shared" si="11"/>
        <v/>
      </c>
      <c r="DN10" s="13" t="str">
        <f t="shared" si="11"/>
        <v/>
      </c>
      <c r="DO10" s="13" t="str">
        <f t="shared" si="11"/>
        <v/>
      </c>
      <c r="DP10" s="13" t="str">
        <f t="shared" si="11"/>
        <v/>
      </c>
      <c r="DQ10" s="13" t="str">
        <f t="shared" si="11"/>
        <v/>
      </c>
      <c r="DR10" s="13" t="str">
        <f t="shared" si="11"/>
        <v/>
      </c>
      <c r="DS10" s="13" t="str">
        <f t="shared" si="11"/>
        <v/>
      </c>
      <c r="DT10" s="13" t="str">
        <f t="shared" si="11"/>
        <v/>
      </c>
      <c r="DU10" s="13" t="str">
        <f t="shared" si="11"/>
        <v/>
      </c>
      <c r="DV10" s="13" t="str">
        <f t="shared" si="11"/>
        <v/>
      </c>
      <c r="DW10" s="13" t="str">
        <f t="shared" si="12"/>
        <v/>
      </c>
      <c r="DX10" s="13" t="str">
        <f t="shared" si="12"/>
        <v/>
      </c>
      <c r="DY10" s="13" t="str">
        <f t="shared" si="12"/>
        <v/>
      </c>
      <c r="DZ10" s="13" t="str">
        <f t="shared" si="12"/>
        <v/>
      </c>
      <c r="EA10" s="13" t="str">
        <f t="shared" si="12"/>
        <v/>
      </c>
      <c r="EB10" s="13" t="str">
        <f t="shared" si="12"/>
        <v/>
      </c>
      <c r="EC10" s="13" t="str">
        <f t="shared" si="12"/>
        <v/>
      </c>
      <c r="ED10" s="13" t="str">
        <f t="shared" si="12"/>
        <v/>
      </c>
      <c r="EE10" s="13" t="str">
        <f t="shared" si="12"/>
        <v/>
      </c>
      <c r="EF10" s="13" t="str">
        <f t="shared" si="12"/>
        <v/>
      </c>
      <c r="EG10" s="13" t="str">
        <f t="shared" si="12"/>
        <v/>
      </c>
      <c r="EH10" s="13" t="str">
        <f t="shared" si="12"/>
        <v/>
      </c>
    </row>
    <row r="11" spans="1:138" ht="15.75" customHeight="1">
      <c r="A11" s="54" t="s">
        <v>87</v>
      </c>
      <c r="B11" s="54"/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54"/>
      <c r="Y11" s="54"/>
      <c r="Z11" s="54"/>
      <c r="AA11" s="54"/>
      <c r="AB11" s="54"/>
      <c r="AC11" s="54"/>
      <c r="AD11" s="54"/>
      <c r="AE11" s="54"/>
      <c r="AF11" s="54"/>
      <c r="AG11" s="54"/>
      <c r="AH11" s="54"/>
      <c r="AI11" s="54"/>
      <c r="AJ11" s="54"/>
      <c r="AK11" s="54"/>
      <c r="AL11" s="54"/>
      <c r="AM11" s="54"/>
      <c r="AN11" s="54"/>
      <c r="AO11" s="54"/>
      <c r="AP11" s="54"/>
      <c r="AQ11" s="54"/>
      <c r="AR11" s="54"/>
      <c r="AS11" s="54"/>
      <c r="AT11" s="54"/>
      <c r="AU11" s="54"/>
      <c r="AV11" s="54"/>
      <c r="AW11" s="54"/>
      <c r="AX11" s="54"/>
      <c r="AY11" s="54"/>
      <c r="AZ11" s="54"/>
      <c r="BA11" s="54"/>
      <c r="BB11" s="54"/>
      <c r="BC11" s="54"/>
      <c r="BD11" s="54"/>
      <c r="BE11" s="54"/>
      <c r="BF11" s="54"/>
      <c r="BG11" s="54"/>
      <c r="BH11" s="54"/>
      <c r="BI11" s="54"/>
      <c r="BJ11" s="54"/>
      <c r="BK11" s="54"/>
      <c r="BL11" s="54"/>
      <c r="BM11" s="54"/>
      <c r="BN11" s="54"/>
      <c r="BO11" s="54"/>
      <c r="BP11" s="54"/>
      <c r="BQ11" s="54"/>
      <c r="BR11" s="54"/>
      <c r="BS11" s="54"/>
      <c r="BT11" s="54"/>
      <c r="BU11" s="54"/>
      <c r="BV11" s="54"/>
      <c r="BW11" s="54"/>
      <c r="BX11" s="54"/>
      <c r="BY11" s="54"/>
      <c r="BZ11" s="54"/>
      <c r="CA11" s="54"/>
      <c r="CB11" s="54"/>
      <c r="CC11" s="54"/>
      <c r="CD11" s="54"/>
      <c r="CE11" s="54"/>
      <c r="CF11" s="54"/>
      <c r="CG11" s="54"/>
      <c r="CH11" s="54"/>
      <c r="CI11" s="54"/>
      <c r="CJ11" s="54"/>
      <c r="CK11" s="54"/>
      <c r="CL11" s="54"/>
      <c r="CM11" s="54"/>
      <c r="CN11" s="54"/>
      <c r="CO11" s="54"/>
      <c r="CP11" s="54"/>
      <c r="CQ11" s="54"/>
      <c r="CR11" s="54"/>
      <c r="CS11" s="54"/>
      <c r="CT11" s="54"/>
      <c r="CU11" s="54"/>
      <c r="CV11" s="54"/>
      <c r="CW11" s="54"/>
      <c r="CX11" s="54"/>
      <c r="CY11" s="54"/>
      <c r="CZ11" s="54"/>
      <c r="DA11" s="54"/>
      <c r="DB11" s="54"/>
      <c r="DC11" s="54"/>
      <c r="DD11" s="54"/>
      <c r="DE11" s="54"/>
      <c r="DF11" s="54"/>
      <c r="DG11" s="54"/>
      <c r="DH11" s="54"/>
      <c r="DI11" s="54"/>
      <c r="DJ11" s="54"/>
      <c r="DK11" s="54"/>
      <c r="DL11" s="54"/>
      <c r="DM11" s="54"/>
      <c r="DN11" s="54"/>
      <c r="DO11" s="54"/>
      <c r="DP11" s="54"/>
      <c r="DQ11" s="54"/>
      <c r="DR11" s="54"/>
      <c r="DS11" s="54"/>
      <c r="DT11" s="54"/>
      <c r="DU11" s="54"/>
      <c r="DV11" s="54"/>
      <c r="DW11" s="54"/>
      <c r="DX11" s="54"/>
      <c r="DY11" s="54"/>
      <c r="DZ11" s="54"/>
      <c r="EA11" s="54"/>
      <c r="EB11" s="54"/>
      <c r="EC11" s="54"/>
      <c r="ED11" s="54"/>
      <c r="EE11" s="54"/>
      <c r="EF11" s="54"/>
      <c r="EG11" s="54"/>
      <c r="EH11" s="54"/>
    </row>
    <row r="12" spans="1:138" ht="13.5" customHeight="1">
      <c r="A12" s="55" t="s">
        <v>88</v>
      </c>
      <c r="B12" s="56" t="s">
        <v>89</v>
      </c>
      <c r="C12" s="57" t="s">
        <v>90</v>
      </c>
      <c r="D12" s="9" t="s">
        <v>79</v>
      </c>
      <c r="E12" s="10">
        <v>46249</v>
      </c>
      <c r="F12" s="10">
        <v>46253</v>
      </c>
      <c r="G12" s="11" t="str">
        <f t="shared" ref="G12:P19" si="13">IF(AND($E12&lt;&gt;"",$F12&lt;&gt;"",$E12&lt;=G$3,$F12&gt;=G$3),"▪","")</f>
        <v/>
      </c>
      <c r="H12" s="11" t="str">
        <f t="shared" si="13"/>
        <v/>
      </c>
      <c r="I12" s="11" t="str">
        <f t="shared" si="13"/>
        <v/>
      </c>
      <c r="J12" s="11" t="str">
        <f t="shared" si="13"/>
        <v/>
      </c>
      <c r="K12" s="11" t="str">
        <f t="shared" si="13"/>
        <v/>
      </c>
      <c r="L12" s="11" t="str">
        <f t="shared" si="13"/>
        <v/>
      </c>
      <c r="M12" s="11" t="str">
        <f t="shared" si="13"/>
        <v/>
      </c>
      <c r="N12" s="11" t="str">
        <f t="shared" si="13"/>
        <v/>
      </c>
      <c r="O12" s="11" t="str">
        <f t="shared" si="13"/>
        <v/>
      </c>
      <c r="P12" s="11" t="str">
        <f t="shared" si="13"/>
        <v/>
      </c>
      <c r="Q12" s="11" t="str">
        <f t="shared" ref="Q12:Z19" si="14">IF(AND($E12&lt;&gt;"",$F12&lt;&gt;"",$E12&lt;=Q$3,$F12&gt;=Q$3),"▪","")</f>
        <v/>
      </c>
      <c r="R12" s="11" t="str">
        <f t="shared" si="14"/>
        <v/>
      </c>
      <c r="S12" s="11" t="str">
        <f t="shared" si="14"/>
        <v/>
      </c>
      <c r="T12" s="11" t="str">
        <f t="shared" si="14"/>
        <v/>
      </c>
      <c r="U12" s="11" t="str">
        <f t="shared" si="14"/>
        <v>▪</v>
      </c>
      <c r="V12" s="11" t="str">
        <f t="shared" si="14"/>
        <v>▪</v>
      </c>
      <c r="W12" s="11" t="str">
        <f t="shared" si="14"/>
        <v>▪</v>
      </c>
      <c r="X12" s="11" t="str">
        <f t="shared" si="14"/>
        <v>▪</v>
      </c>
      <c r="Y12" s="11" t="str">
        <f t="shared" si="14"/>
        <v>▪</v>
      </c>
      <c r="Z12" s="11" t="str">
        <f t="shared" si="14"/>
        <v/>
      </c>
      <c r="AA12" s="11" t="str">
        <f t="shared" ref="AA12:AJ19" si="15">IF(AND($E12&lt;&gt;"",$F12&lt;&gt;"",$E12&lt;=AA$3,$F12&gt;=AA$3),"▪","")</f>
        <v/>
      </c>
      <c r="AB12" s="11" t="str">
        <f t="shared" si="15"/>
        <v/>
      </c>
      <c r="AC12" s="11" t="str">
        <f t="shared" si="15"/>
        <v/>
      </c>
      <c r="AD12" s="11" t="str">
        <f t="shared" si="15"/>
        <v/>
      </c>
      <c r="AE12" s="11" t="str">
        <f t="shared" si="15"/>
        <v/>
      </c>
      <c r="AF12" s="11" t="str">
        <f t="shared" si="15"/>
        <v/>
      </c>
      <c r="AG12" s="11" t="str">
        <f t="shared" si="15"/>
        <v/>
      </c>
      <c r="AH12" s="11" t="str">
        <f t="shared" si="15"/>
        <v/>
      </c>
      <c r="AI12" s="11" t="str">
        <f t="shared" si="15"/>
        <v/>
      </c>
      <c r="AJ12" s="11" t="str">
        <f t="shared" si="15"/>
        <v/>
      </c>
      <c r="AK12" s="11" t="str">
        <f t="shared" ref="AK12:AT19" si="16">IF(AND($E12&lt;&gt;"",$F12&lt;&gt;"",$E12&lt;=AK$3,$F12&gt;=AK$3),"▪","")</f>
        <v/>
      </c>
      <c r="AL12" s="11" t="str">
        <f t="shared" si="16"/>
        <v/>
      </c>
      <c r="AM12" s="11" t="str">
        <f t="shared" si="16"/>
        <v/>
      </c>
      <c r="AN12" s="11" t="str">
        <f t="shared" si="16"/>
        <v/>
      </c>
      <c r="AO12" s="11" t="str">
        <f t="shared" si="16"/>
        <v/>
      </c>
      <c r="AP12" s="11" t="str">
        <f t="shared" si="16"/>
        <v/>
      </c>
      <c r="AQ12" s="11" t="str">
        <f t="shared" si="16"/>
        <v/>
      </c>
      <c r="AR12" s="11" t="str">
        <f t="shared" si="16"/>
        <v/>
      </c>
      <c r="AS12" s="11" t="str">
        <f t="shared" si="16"/>
        <v/>
      </c>
      <c r="AT12" s="11" t="str">
        <f t="shared" si="16"/>
        <v/>
      </c>
      <c r="AU12" s="11" t="str">
        <f t="shared" ref="AU12:BD19" si="17">IF(AND($E12&lt;&gt;"",$F12&lt;&gt;"",$E12&lt;=AU$3,$F12&gt;=AU$3),"▪","")</f>
        <v/>
      </c>
      <c r="AV12" s="11" t="str">
        <f t="shared" si="17"/>
        <v/>
      </c>
      <c r="AW12" s="11" t="str">
        <f t="shared" si="17"/>
        <v/>
      </c>
      <c r="AX12" s="11" t="str">
        <f t="shared" si="17"/>
        <v/>
      </c>
      <c r="AY12" s="11" t="str">
        <f t="shared" si="17"/>
        <v/>
      </c>
      <c r="AZ12" s="11" t="str">
        <f t="shared" si="17"/>
        <v/>
      </c>
      <c r="BA12" s="11" t="str">
        <f t="shared" si="17"/>
        <v/>
      </c>
      <c r="BB12" s="11" t="str">
        <f t="shared" si="17"/>
        <v/>
      </c>
      <c r="BC12" s="11" t="str">
        <f t="shared" si="17"/>
        <v/>
      </c>
      <c r="BD12" s="11" t="str">
        <f t="shared" si="17"/>
        <v/>
      </c>
      <c r="BE12" s="11" t="str">
        <f t="shared" ref="BE12:BN19" si="18">IF(AND($E12&lt;&gt;"",$F12&lt;&gt;"",$E12&lt;=BE$3,$F12&gt;=BE$3),"▪","")</f>
        <v/>
      </c>
      <c r="BF12" s="11" t="str">
        <f t="shared" si="18"/>
        <v/>
      </c>
      <c r="BG12" s="11" t="str">
        <f t="shared" si="18"/>
        <v/>
      </c>
      <c r="BH12" s="11" t="str">
        <f t="shared" si="18"/>
        <v/>
      </c>
      <c r="BI12" s="11" t="str">
        <f t="shared" si="18"/>
        <v/>
      </c>
      <c r="BJ12" s="11" t="str">
        <f t="shared" si="18"/>
        <v/>
      </c>
      <c r="BK12" s="11" t="str">
        <f t="shared" si="18"/>
        <v/>
      </c>
      <c r="BL12" s="11" t="str">
        <f t="shared" si="18"/>
        <v/>
      </c>
      <c r="BM12" s="11" t="str">
        <f t="shared" si="18"/>
        <v/>
      </c>
      <c r="BN12" s="11" t="str">
        <f t="shared" si="18"/>
        <v/>
      </c>
      <c r="BO12" s="11" t="str">
        <f t="shared" ref="BO12:BX19" si="19">IF(AND($E12&lt;&gt;"",$F12&lt;&gt;"",$E12&lt;=BO$3,$F12&gt;=BO$3),"▪","")</f>
        <v/>
      </c>
      <c r="BP12" s="11" t="str">
        <f t="shared" si="19"/>
        <v/>
      </c>
      <c r="BQ12" s="11" t="str">
        <f t="shared" si="19"/>
        <v/>
      </c>
      <c r="BR12" s="11" t="str">
        <f t="shared" si="19"/>
        <v/>
      </c>
      <c r="BS12" s="11" t="str">
        <f t="shared" si="19"/>
        <v/>
      </c>
      <c r="BT12" s="11" t="str">
        <f t="shared" si="19"/>
        <v/>
      </c>
      <c r="BU12" s="11" t="str">
        <f t="shared" si="19"/>
        <v/>
      </c>
      <c r="BV12" s="11" t="str">
        <f t="shared" si="19"/>
        <v/>
      </c>
      <c r="BW12" s="11" t="str">
        <f t="shared" si="19"/>
        <v/>
      </c>
      <c r="BX12" s="11" t="str">
        <f t="shared" si="19"/>
        <v/>
      </c>
      <c r="BY12" s="11" t="str">
        <f t="shared" ref="BY12:CH19" si="20">IF(AND($E12&lt;&gt;"",$F12&lt;&gt;"",$E12&lt;=BY$3,$F12&gt;=BY$3),"▪","")</f>
        <v/>
      </c>
      <c r="BZ12" s="11" t="str">
        <f t="shared" si="20"/>
        <v/>
      </c>
      <c r="CA12" s="11" t="str">
        <f t="shared" si="20"/>
        <v/>
      </c>
      <c r="CB12" s="11" t="str">
        <f t="shared" si="20"/>
        <v/>
      </c>
      <c r="CC12" s="11" t="str">
        <f t="shared" si="20"/>
        <v/>
      </c>
      <c r="CD12" s="11" t="str">
        <f t="shared" si="20"/>
        <v/>
      </c>
      <c r="CE12" s="11" t="str">
        <f t="shared" si="20"/>
        <v/>
      </c>
      <c r="CF12" s="11" t="str">
        <f t="shared" si="20"/>
        <v/>
      </c>
      <c r="CG12" s="11" t="str">
        <f t="shared" si="20"/>
        <v/>
      </c>
      <c r="CH12" s="11" t="str">
        <f t="shared" si="20"/>
        <v/>
      </c>
      <c r="CI12" s="11" t="str">
        <f t="shared" ref="CI12:CR19" si="21">IF(AND($E12&lt;&gt;"",$F12&lt;&gt;"",$E12&lt;=CI$3,$F12&gt;=CI$3),"▪","")</f>
        <v/>
      </c>
      <c r="CJ12" s="11" t="str">
        <f t="shared" si="21"/>
        <v/>
      </c>
      <c r="CK12" s="11" t="str">
        <f t="shared" si="21"/>
        <v/>
      </c>
      <c r="CL12" s="11" t="str">
        <f t="shared" si="21"/>
        <v/>
      </c>
      <c r="CM12" s="11" t="str">
        <f t="shared" si="21"/>
        <v/>
      </c>
      <c r="CN12" s="11" t="str">
        <f t="shared" si="21"/>
        <v/>
      </c>
      <c r="CO12" s="11" t="str">
        <f t="shared" si="21"/>
        <v/>
      </c>
      <c r="CP12" s="11" t="str">
        <f t="shared" si="21"/>
        <v/>
      </c>
      <c r="CQ12" s="11" t="str">
        <f t="shared" si="21"/>
        <v/>
      </c>
      <c r="CR12" s="11" t="str">
        <f t="shared" si="21"/>
        <v/>
      </c>
      <c r="CS12" s="11" t="str">
        <f t="shared" ref="CS12:DB19" si="22">IF(AND($E12&lt;&gt;"",$F12&lt;&gt;"",$E12&lt;=CS$3,$F12&gt;=CS$3),"▪","")</f>
        <v/>
      </c>
      <c r="CT12" s="11" t="str">
        <f t="shared" si="22"/>
        <v/>
      </c>
      <c r="CU12" s="11" t="str">
        <f t="shared" si="22"/>
        <v/>
      </c>
      <c r="CV12" s="11" t="str">
        <f t="shared" si="22"/>
        <v/>
      </c>
      <c r="CW12" s="11" t="str">
        <f t="shared" si="22"/>
        <v/>
      </c>
      <c r="CX12" s="11" t="str">
        <f t="shared" si="22"/>
        <v/>
      </c>
      <c r="CY12" s="11" t="str">
        <f t="shared" si="22"/>
        <v/>
      </c>
      <c r="CZ12" s="11" t="str">
        <f t="shared" si="22"/>
        <v/>
      </c>
      <c r="DA12" s="11" t="str">
        <f t="shared" si="22"/>
        <v/>
      </c>
      <c r="DB12" s="11" t="str">
        <f t="shared" si="22"/>
        <v/>
      </c>
      <c r="DC12" s="11" t="str">
        <f t="shared" ref="DC12:DL19" si="23">IF(AND($E12&lt;&gt;"",$F12&lt;&gt;"",$E12&lt;=DC$3,$F12&gt;=DC$3),"▪","")</f>
        <v/>
      </c>
      <c r="DD12" s="11" t="str">
        <f t="shared" si="23"/>
        <v/>
      </c>
      <c r="DE12" s="11" t="str">
        <f t="shared" si="23"/>
        <v/>
      </c>
      <c r="DF12" s="11" t="str">
        <f t="shared" si="23"/>
        <v/>
      </c>
      <c r="DG12" s="11" t="str">
        <f t="shared" si="23"/>
        <v/>
      </c>
      <c r="DH12" s="11" t="str">
        <f t="shared" si="23"/>
        <v/>
      </c>
      <c r="DI12" s="11" t="str">
        <f t="shared" si="23"/>
        <v/>
      </c>
      <c r="DJ12" s="11" t="str">
        <f t="shared" si="23"/>
        <v/>
      </c>
      <c r="DK12" s="11" t="str">
        <f t="shared" si="23"/>
        <v/>
      </c>
      <c r="DL12" s="11" t="str">
        <f t="shared" si="23"/>
        <v/>
      </c>
      <c r="DM12" s="11" t="str">
        <f t="shared" ref="DM12:DV19" si="24">IF(AND($E12&lt;&gt;"",$F12&lt;&gt;"",$E12&lt;=DM$3,$F12&gt;=DM$3),"▪","")</f>
        <v/>
      </c>
      <c r="DN12" s="11" t="str">
        <f t="shared" si="24"/>
        <v/>
      </c>
      <c r="DO12" s="11" t="str">
        <f t="shared" si="24"/>
        <v/>
      </c>
      <c r="DP12" s="11" t="str">
        <f t="shared" si="24"/>
        <v/>
      </c>
      <c r="DQ12" s="11" t="str">
        <f t="shared" si="24"/>
        <v/>
      </c>
      <c r="DR12" s="11" t="str">
        <f t="shared" si="24"/>
        <v/>
      </c>
      <c r="DS12" s="11" t="str">
        <f t="shared" si="24"/>
        <v/>
      </c>
      <c r="DT12" s="11" t="str">
        <f t="shared" si="24"/>
        <v/>
      </c>
      <c r="DU12" s="11" t="str">
        <f t="shared" si="24"/>
        <v/>
      </c>
      <c r="DV12" s="11" t="str">
        <f t="shared" si="24"/>
        <v/>
      </c>
      <c r="DW12" s="11" t="str">
        <f t="shared" ref="DW12:EH19" si="25">IF(AND($E12&lt;&gt;"",$F12&lt;&gt;"",$E12&lt;=DW$3,$F12&gt;=DW$3),"▪","")</f>
        <v/>
      </c>
      <c r="DX12" s="11" t="str">
        <f t="shared" si="25"/>
        <v/>
      </c>
      <c r="DY12" s="11" t="str">
        <f t="shared" si="25"/>
        <v/>
      </c>
      <c r="DZ12" s="11" t="str">
        <f t="shared" si="25"/>
        <v/>
      </c>
      <c r="EA12" s="11" t="str">
        <f t="shared" si="25"/>
        <v/>
      </c>
      <c r="EB12" s="11" t="str">
        <f t="shared" si="25"/>
        <v/>
      </c>
      <c r="EC12" s="11" t="str">
        <f t="shared" si="25"/>
        <v/>
      </c>
      <c r="ED12" s="11" t="str">
        <f t="shared" si="25"/>
        <v/>
      </c>
      <c r="EE12" s="11" t="str">
        <f t="shared" si="25"/>
        <v/>
      </c>
      <c r="EF12" s="11" t="str">
        <f t="shared" si="25"/>
        <v/>
      </c>
      <c r="EG12" s="11" t="str">
        <f t="shared" si="25"/>
        <v/>
      </c>
      <c r="EH12" s="11" t="str">
        <f t="shared" si="25"/>
        <v/>
      </c>
    </row>
    <row r="13" spans="1:138" ht="13.5" customHeight="1">
      <c r="A13" s="55"/>
      <c r="B13" s="55"/>
      <c r="C13" s="55"/>
      <c r="D13" s="12" t="s">
        <v>80</v>
      </c>
      <c r="E13" s="10">
        <v>46249</v>
      </c>
      <c r="F13" s="10">
        <v>46256</v>
      </c>
      <c r="G13" s="13" t="str">
        <f t="shared" si="13"/>
        <v/>
      </c>
      <c r="H13" s="13" t="str">
        <f t="shared" si="13"/>
        <v/>
      </c>
      <c r="I13" s="13" t="str">
        <f t="shared" si="13"/>
        <v/>
      </c>
      <c r="J13" s="13" t="str">
        <f t="shared" si="13"/>
        <v/>
      </c>
      <c r="K13" s="13" t="str">
        <f t="shared" si="13"/>
        <v/>
      </c>
      <c r="L13" s="13" t="str">
        <f t="shared" si="13"/>
        <v/>
      </c>
      <c r="M13" s="13" t="str">
        <f t="shared" si="13"/>
        <v/>
      </c>
      <c r="N13" s="13" t="str">
        <f t="shared" si="13"/>
        <v/>
      </c>
      <c r="O13" s="13" t="str">
        <f t="shared" si="13"/>
        <v/>
      </c>
      <c r="P13" s="13" t="str">
        <f t="shared" si="13"/>
        <v/>
      </c>
      <c r="Q13" s="13" t="str">
        <f t="shared" si="14"/>
        <v/>
      </c>
      <c r="R13" s="13" t="str">
        <f t="shared" si="14"/>
        <v/>
      </c>
      <c r="S13" s="13" t="str">
        <f t="shared" si="14"/>
        <v/>
      </c>
      <c r="T13" s="13" t="str">
        <f t="shared" si="14"/>
        <v/>
      </c>
      <c r="U13" s="13" t="str">
        <f t="shared" si="14"/>
        <v>▪</v>
      </c>
      <c r="V13" s="13" t="str">
        <f t="shared" si="14"/>
        <v>▪</v>
      </c>
      <c r="W13" s="13" t="str">
        <f t="shared" si="14"/>
        <v>▪</v>
      </c>
      <c r="X13" s="13" t="str">
        <f t="shared" si="14"/>
        <v>▪</v>
      </c>
      <c r="Y13" s="13" t="str">
        <f t="shared" si="14"/>
        <v>▪</v>
      </c>
      <c r="Z13" s="13" t="str">
        <f t="shared" si="14"/>
        <v>▪</v>
      </c>
      <c r="AA13" s="13" t="str">
        <f t="shared" si="15"/>
        <v>▪</v>
      </c>
      <c r="AB13" s="13" t="str">
        <f t="shared" si="15"/>
        <v>▪</v>
      </c>
      <c r="AC13" s="13" t="str">
        <f t="shared" si="15"/>
        <v/>
      </c>
      <c r="AD13" s="13" t="str">
        <f t="shared" si="15"/>
        <v/>
      </c>
      <c r="AE13" s="13" t="str">
        <f t="shared" si="15"/>
        <v/>
      </c>
      <c r="AF13" s="13" t="str">
        <f t="shared" si="15"/>
        <v/>
      </c>
      <c r="AG13" s="13" t="str">
        <f t="shared" si="15"/>
        <v/>
      </c>
      <c r="AH13" s="13" t="str">
        <f t="shared" si="15"/>
        <v/>
      </c>
      <c r="AI13" s="13" t="str">
        <f t="shared" si="15"/>
        <v/>
      </c>
      <c r="AJ13" s="13" t="str">
        <f t="shared" si="15"/>
        <v/>
      </c>
      <c r="AK13" s="13" t="str">
        <f t="shared" si="16"/>
        <v/>
      </c>
      <c r="AL13" s="13" t="str">
        <f t="shared" si="16"/>
        <v/>
      </c>
      <c r="AM13" s="13" t="str">
        <f t="shared" si="16"/>
        <v/>
      </c>
      <c r="AN13" s="13" t="str">
        <f t="shared" si="16"/>
        <v/>
      </c>
      <c r="AO13" s="13" t="str">
        <f t="shared" si="16"/>
        <v/>
      </c>
      <c r="AP13" s="13" t="str">
        <f t="shared" si="16"/>
        <v/>
      </c>
      <c r="AQ13" s="13" t="str">
        <f t="shared" si="16"/>
        <v/>
      </c>
      <c r="AR13" s="13" t="str">
        <f t="shared" si="16"/>
        <v/>
      </c>
      <c r="AS13" s="13" t="str">
        <f t="shared" si="16"/>
        <v/>
      </c>
      <c r="AT13" s="13" t="str">
        <f t="shared" si="16"/>
        <v/>
      </c>
      <c r="AU13" s="13" t="str">
        <f t="shared" si="17"/>
        <v/>
      </c>
      <c r="AV13" s="13" t="str">
        <f t="shared" si="17"/>
        <v/>
      </c>
      <c r="AW13" s="13" t="str">
        <f t="shared" si="17"/>
        <v/>
      </c>
      <c r="AX13" s="13" t="str">
        <f t="shared" si="17"/>
        <v/>
      </c>
      <c r="AY13" s="13" t="str">
        <f t="shared" si="17"/>
        <v/>
      </c>
      <c r="AZ13" s="13" t="str">
        <f t="shared" si="17"/>
        <v/>
      </c>
      <c r="BA13" s="13" t="str">
        <f t="shared" si="17"/>
        <v/>
      </c>
      <c r="BB13" s="13" t="str">
        <f t="shared" si="17"/>
        <v/>
      </c>
      <c r="BC13" s="13" t="str">
        <f t="shared" si="17"/>
        <v/>
      </c>
      <c r="BD13" s="13" t="str">
        <f t="shared" si="17"/>
        <v/>
      </c>
      <c r="BE13" s="13" t="str">
        <f t="shared" si="18"/>
        <v/>
      </c>
      <c r="BF13" s="13" t="str">
        <f t="shared" si="18"/>
        <v/>
      </c>
      <c r="BG13" s="13" t="str">
        <f t="shared" si="18"/>
        <v/>
      </c>
      <c r="BH13" s="13" t="str">
        <f t="shared" si="18"/>
        <v/>
      </c>
      <c r="BI13" s="13" t="str">
        <f t="shared" si="18"/>
        <v/>
      </c>
      <c r="BJ13" s="13" t="str">
        <f t="shared" si="18"/>
        <v/>
      </c>
      <c r="BK13" s="13" t="str">
        <f t="shared" si="18"/>
        <v/>
      </c>
      <c r="BL13" s="13" t="str">
        <f t="shared" si="18"/>
        <v/>
      </c>
      <c r="BM13" s="13" t="str">
        <f t="shared" si="18"/>
        <v/>
      </c>
      <c r="BN13" s="13" t="str">
        <f t="shared" si="18"/>
        <v/>
      </c>
      <c r="BO13" s="13" t="str">
        <f t="shared" si="19"/>
        <v/>
      </c>
      <c r="BP13" s="13" t="str">
        <f t="shared" si="19"/>
        <v/>
      </c>
      <c r="BQ13" s="13" t="str">
        <f t="shared" si="19"/>
        <v/>
      </c>
      <c r="BR13" s="13" t="str">
        <f t="shared" si="19"/>
        <v/>
      </c>
      <c r="BS13" s="13" t="str">
        <f t="shared" si="19"/>
        <v/>
      </c>
      <c r="BT13" s="13" t="str">
        <f t="shared" si="19"/>
        <v/>
      </c>
      <c r="BU13" s="13" t="str">
        <f t="shared" si="19"/>
        <v/>
      </c>
      <c r="BV13" s="13" t="str">
        <f t="shared" si="19"/>
        <v/>
      </c>
      <c r="BW13" s="13" t="str">
        <f t="shared" si="19"/>
        <v/>
      </c>
      <c r="BX13" s="13" t="str">
        <f t="shared" si="19"/>
        <v/>
      </c>
      <c r="BY13" s="13" t="str">
        <f t="shared" si="20"/>
        <v/>
      </c>
      <c r="BZ13" s="13" t="str">
        <f t="shared" si="20"/>
        <v/>
      </c>
      <c r="CA13" s="13" t="str">
        <f t="shared" si="20"/>
        <v/>
      </c>
      <c r="CB13" s="13" t="str">
        <f t="shared" si="20"/>
        <v/>
      </c>
      <c r="CC13" s="13" t="str">
        <f t="shared" si="20"/>
        <v/>
      </c>
      <c r="CD13" s="13" t="str">
        <f t="shared" si="20"/>
        <v/>
      </c>
      <c r="CE13" s="13" t="str">
        <f t="shared" si="20"/>
        <v/>
      </c>
      <c r="CF13" s="13" t="str">
        <f t="shared" si="20"/>
        <v/>
      </c>
      <c r="CG13" s="13" t="str">
        <f t="shared" si="20"/>
        <v/>
      </c>
      <c r="CH13" s="13" t="str">
        <f t="shared" si="20"/>
        <v/>
      </c>
      <c r="CI13" s="13" t="str">
        <f t="shared" si="21"/>
        <v/>
      </c>
      <c r="CJ13" s="13" t="str">
        <f t="shared" si="21"/>
        <v/>
      </c>
      <c r="CK13" s="13" t="str">
        <f t="shared" si="21"/>
        <v/>
      </c>
      <c r="CL13" s="13" t="str">
        <f t="shared" si="21"/>
        <v/>
      </c>
      <c r="CM13" s="13" t="str">
        <f t="shared" si="21"/>
        <v/>
      </c>
      <c r="CN13" s="13" t="str">
        <f t="shared" si="21"/>
        <v/>
      </c>
      <c r="CO13" s="13" t="str">
        <f t="shared" si="21"/>
        <v/>
      </c>
      <c r="CP13" s="13" t="str">
        <f t="shared" si="21"/>
        <v/>
      </c>
      <c r="CQ13" s="13" t="str">
        <f t="shared" si="21"/>
        <v/>
      </c>
      <c r="CR13" s="13" t="str">
        <f t="shared" si="21"/>
        <v/>
      </c>
      <c r="CS13" s="13" t="str">
        <f t="shared" si="22"/>
        <v/>
      </c>
      <c r="CT13" s="13" t="str">
        <f t="shared" si="22"/>
        <v/>
      </c>
      <c r="CU13" s="13" t="str">
        <f t="shared" si="22"/>
        <v/>
      </c>
      <c r="CV13" s="13" t="str">
        <f t="shared" si="22"/>
        <v/>
      </c>
      <c r="CW13" s="13" t="str">
        <f t="shared" si="22"/>
        <v/>
      </c>
      <c r="CX13" s="13" t="str">
        <f t="shared" si="22"/>
        <v/>
      </c>
      <c r="CY13" s="13" t="str">
        <f t="shared" si="22"/>
        <v/>
      </c>
      <c r="CZ13" s="13" t="str">
        <f t="shared" si="22"/>
        <v/>
      </c>
      <c r="DA13" s="13" t="str">
        <f t="shared" si="22"/>
        <v/>
      </c>
      <c r="DB13" s="13" t="str">
        <f t="shared" si="22"/>
        <v/>
      </c>
      <c r="DC13" s="13" t="str">
        <f t="shared" si="23"/>
        <v/>
      </c>
      <c r="DD13" s="13" t="str">
        <f t="shared" si="23"/>
        <v/>
      </c>
      <c r="DE13" s="13" t="str">
        <f t="shared" si="23"/>
        <v/>
      </c>
      <c r="DF13" s="13" t="str">
        <f t="shared" si="23"/>
        <v/>
      </c>
      <c r="DG13" s="13" t="str">
        <f t="shared" si="23"/>
        <v/>
      </c>
      <c r="DH13" s="13" t="str">
        <f t="shared" si="23"/>
        <v/>
      </c>
      <c r="DI13" s="13" t="str">
        <f t="shared" si="23"/>
        <v/>
      </c>
      <c r="DJ13" s="13" t="str">
        <f t="shared" si="23"/>
        <v/>
      </c>
      <c r="DK13" s="13" t="str">
        <f t="shared" si="23"/>
        <v/>
      </c>
      <c r="DL13" s="13" t="str">
        <f t="shared" si="23"/>
        <v/>
      </c>
      <c r="DM13" s="13" t="str">
        <f t="shared" si="24"/>
        <v/>
      </c>
      <c r="DN13" s="13" t="str">
        <f t="shared" si="24"/>
        <v/>
      </c>
      <c r="DO13" s="13" t="str">
        <f t="shared" si="24"/>
        <v/>
      </c>
      <c r="DP13" s="13" t="str">
        <f t="shared" si="24"/>
        <v/>
      </c>
      <c r="DQ13" s="13" t="str">
        <f t="shared" si="24"/>
        <v/>
      </c>
      <c r="DR13" s="13" t="str">
        <f t="shared" si="24"/>
        <v/>
      </c>
      <c r="DS13" s="13" t="str">
        <f t="shared" si="24"/>
        <v/>
      </c>
      <c r="DT13" s="13" t="str">
        <f t="shared" si="24"/>
        <v/>
      </c>
      <c r="DU13" s="13" t="str">
        <f t="shared" si="24"/>
        <v/>
      </c>
      <c r="DV13" s="13" t="str">
        <f t="shared" si="24"/>
        <v/>
      </c>
      <c r="DW13" s="13" t="str">
        <f t="shared" si="25"/>
        <v/>
      </c>
      <c r="DX13" s="13" t="str">
        <f t="shared" si="25"/>
        <v/>
      </c>
      <c r="DY13" s="13" t="str">
        <f t="shared" si="25"/>
        <v/>
      </c>
      <c r="DZ13" s="13" t="str">
        <f t="shared" si="25"/>
        <v/>
      </c>
      <c r="EA13" s="13" t="str">
        <f t="shared" si="25"/>
        <v/>
      </c>
      <c r="EB13" s="13" t="str">
        <f t="shared" si="25"/>
        <v/>
      </c>
      <c r="EC13" s="13" t="str">
        <f t="shared" si="25"/>
        <v/>
      </c>
      <c r="ED13" s="13" t="str">
        <f t="shared" si="25"/>
        <v/>
      </c>
      <c r="EE13" s="13" t="str">
        <f t="shared" si="25"/>
        <v/>
      </c>
      <c r="EF13" s="13" t="str">
        <f t="shared" si="25"/>
        <v/>
      </c>
      <c r="EG13" s="13" t="str">
        <f t="shared" si="25"/>
        <v/>
      </c>
      <c r="EH13" s="13" t="str">
        <f t="shared" si="25"/>
        <v/>
      </c>
    </row>
    <row r="14" spans="1:138" ht="13.5" customHeight="1">
      <c r="A14" s="55" t="s">
        <v>91</v>
      </c>
      <c r="B14" s="56" t="s">
        <v>92</v>
      </c>
      <c r="C14" s="57" t="s">
        <v>90</v>
      </c>
      <c r="D14" s="9" t="s">
        <v>79</v>
      </c>
      <c r="E14" s="10">
        <v>46254</v>
      </c>
      <c r="F14" s="10">
        <v>46258</v>
      </c>
      <c r="G14" s="11" t="str">
        <f t="shared" si="13"/>
        <v/>
      </c>
      <c r="H14" s="11" t="str">
        <f t="shared" si="13"/>
        <v/>
      </c>
      <c r="I14" s="11" t="str">
        <f t="shared" si="13"/>
        <v/>
      </c>
      <c r="J14" s="11" t="str">
        <f t="shared" si="13"/>
        <v/>
      </c>
      <c r="K14" s="11" t="str">
        <f t="shared" si="13"/>
        <v/>
      </c>
      <c r="L14" s="11" t="str">
        <f t="shared" si="13"/>
        <v/>
      </c>
      <c r="M14" s="11" t="str">
        <f t="shared" si="13"/>
        <v/>
      </c>
      <c r="N14" s="11" t="str">
        <f t="shared" si="13"/>
        <v/>
      </c>
      <c r="O14" s="11" t="str">
        <f t="shared" si="13"/>
        <v/>
      </c>
      <c r="P14" s="11" t="str">
        <f t="shared" si="13"/>
        <v/>
      </c>
      <c r="Q14" s="11" t="str">
        <f t="shared" si="14"/>
        <v/>
      </c>
      <c r="R14" s="11" t="str">
        <f t="shared" si="14"/>
        <v/>
      </c>
      <c r="S14" s="11" t="str">
        <f t="shared" si="14"/>
        <v/>
      </c>
      <c r="T14" s="11" t="str">
        <f t="shared" si="14"/>
        <v/>
      </c>
      <c r="U14" s="11" t="str">
        <f t="shared" si="14"/>
        <v/>
      </c>
      <c r="V14" s="11" t="str">
        <f t="shared" si="14"/>
        <v/>
      </c>
      <c r="W14" s="11" t="str">
        <f t="shared" si="14"/>
        <v/>
      </c>
      <c r="X14" s="11" t="str">
        <f t="shared" si="14"/>
        <v/>
      </c>
      <c r="Y14" s="11" t="str">
        <f t="shared" si="14"/>
        <v/>
      </c>
      <c r="Z14" s="11" t="str">
        <f t="shared" si="14"/>
        <v>▪</v>
      </c>
      <c r="AA14" s="11" t="str">
        <f t="shared" si="15"/>
        <v>▪</v>
      </c>
      <c r="AB14" s="11" t="str">
        <f t="shared" si="15"/>
        <v>▪</v>
      </c>
      <c r="AC14" s="11" t="str">
        <f t="shared" si="15"/>
        <v>▪</v>
      </c>
      <c r="AD14" s="11" t="str">
        <f t="shared" si="15"/>
        <v>▪</v>
      </c>
      <c r="AE14" s="11" t="str">
        <f t="shared" si="15"/>
        <v/>
      </c>
      <c r="AF14" s="11" t="str">
        <f t="shared" si="15"/>
        <v/>
      </c>
      <c r="AG14" s="11" t="str">
        <f t="shared" si="15"/>
        <v/>
      </c>
      <c r="AH14" s="11" t="str">
        <f t="shared" si="15"/>
        <v/>
      </c>
      <c r="AI14" s="11" t="str">
        <f t="shared" si="15"/>
        <v/>
      </c>
      <c r="AJ14" s="11" t="str">
        <f t="shared" si="15"/>
        <v/>
      </c>
      <c r="AK14" s="11" t="str">
        <f t="shared" si="16"/>
        <v/>
      </c>
      <c r="AL14" s="11" t="str">
        <f t="shared" si="16"/>
        <v/>
      </c>
      <c r="AM14" s="11" t="str">
        <f t="shared" si="16"/>
        <v/>
      </c>
      <c r="AN14" s="11" t="str">
        <f t="shared" si="16"/>
        <v/>
      </c>
      <c r="AO14" s="11" t="str">
        <f t="shared" si="16"/>
        <v/>
      </c>
      <c r="AP14" s="11" t="str">
        <f t="shared" si="16"/>
        <v/>
      </c>
      <c r="AQ14" s="11" t="str">
        <f t="shared" si="16"/>
        <v/>
      </c>
      <c r="AR14" s="11" t="str">
        <f t="shared" si="16"/>
        <v/>
      </c>
      <c r="AS14" s="11" t="str">
        <f t="shared" si="16"/>
        <v/>
      </c>
      <c r="AT14" s="11" t="str">
        <f t="shared" si="16"/>
        <v/>
      </c>
      <c r="AU14" s="11" t="str">
        <f t="shared" si="17"/>
        <v/>
      </c>
      <c r="AV14" s="11" t="str">
        <f t="shared" si="17"/>
        <v/>
      </c>
      <c r="AW14" s="11" t="str">
        <f t="shared" si="17"/>
        <v/>
      </c>
      <c r="AX14" s="11" t="str">
        <f t="shared" si="17"/>
        <v/>
      </c>
      <c r="AY14" s="11" t="str">
        <f t="shared" si="17"/>
        <v/>
      </c>
      <c r="AZ14" s="11" t="str">
        <f t="shared" si="17"/>
        <v/>
      </c>
      <c r="BA14" s="11" t="str">
        <f t="shared" si="17"/>
        <v/>
      </c>
      <c r="BB14" s="11" t="str">
        <f t="shared" si="17"/>
        <v/>
      </c>
      <c r="BC14" s="11" t="str">
        <f t="shared" si="17"/>
        <v/>
      </c>
      <c r="BD14" s="11" t="str">
        <f t="shared" si="17"/>
        <v/>
      </c>
      <c r="BE14" s="11" t="str">
        <f t="shared" si="18"/>
        <v/>
      </c>
      <c r="BF14" s="11" t="str">
        <f t="shared" si="18"/>
        <v/>
      </c>
      <c r="BG14" s="11" t="str">
        <f t="shared" si="18"/>
        <v/>
      </c>
      <c r="BH14" s="11" t="str">
        <f t="shared" si="18"/>
        <v/>
      </c>
      <c r="BI14" s="11" t="str">
        <f t="shared" si="18"/>
        <v/>
      </c>
      <c r="BJ14" s="11" t="str">
        <f t="shared" si="18"/>
        <v/>
      </c>
      <c r="BK14" s="11" t="str">
        <f t="shared" si="18"/>
        <v/>
      </c>
      <c r="BL14" s="11" t="str">
        <f t="shared" si="18"/>
        <v/>
      </c>
      <c r="BM14" s="11" t="str">
        <f t="shared" si="18"/>
        <v/>
      </c>
      <c r="BN14" s="11" t="str">
        <f t="shared" si="18"/>
        <v/>
      </c>
      <c r="BO14" s="11" t="str">
        <f t="shared" si="19"/>
        <v/>
      </c>
      <c r="BP14" s="11" t="str">
        <f t="shared" si="19"/>
        <v/>
      </c>
      <c r="BQ14" s="11" t="str">
        <f t="shared" si="19"/>
        <v/>
      </c>
      <c r="BR14" s="11" t="str">
        <f t="shared" si="19"/>
        <v/>
      </c>
      <c r="BS14" s="11" t="str">
        <f t="shared" si="19"/>
        <v/>
      </c>
      <c r="BT14" s="11" t="str">
        <f t="shared" si="19"/>
        <v/>
      </c>
      <c r="BU14" s="11" t="str">
        <f t="shared" si="19"/>
        <v/>
      </c>
      <c r="BV14" s="11" t="str">
        <f t="shared" si="19"/>
        <v/>
      </c>
      <c r="BW14" s="11" t="str">
        <f t="shared" si="19"/>
        <v/>
      </c>
      <c r="BX14" s="11" t="str">
        <f t="shared" si="19"/>
        <v/>
      </c>
      <c r="BY14" s="11" t="str">
        <f t="shared" si="20"/>
        <v/>
      </c>
      <c r="BZ14" s="11" t="str">
        <f t="shared" si="20"/>
        <v/>
      </c>
      <c r="CA14" s="11" t="str">
        <f t="shared" si="20"/>
        <v/>
      </c>
      <c r="CB14" s="11" t="str">
        <f t="shared" si="20"/>
        <v/>
      </c>
      <c r="CC14" s="11" t="str">
        <f t="shared" si="20"/>
        <v/>
      </c>
      <c r="CD14" s="11" t="str">
        <f t="shared" si="20"/>
        <v/>
      </c>
      <c r="CE14" s="11" t="str">
        <f t="shared" si="20"/>
        <v/>
      </c>
      <c r="CF14" s="11" t="str">
        <f t="shared" si="20"/>
        <v/>
      </c>
      <c r="CG14" s="11" t="str">
        <f t="shared" si="20"/>
        <v/>
      </c>
      <c r="CH14" s="11" t="str">
        <f t="shared" si="20"/>
        <v/>
      </c>
      <c r="CI14" s="11" t="str">
        <f t="shared" si="21"/>
        <v/>
      </c>
      <c r="CJ14" s="11" t="str">
        <f t="shared" si="21"/>
        <v/>
      </c>
      <c r="CK14" s="11" t="str">
        <f t="shared" si="21"/>
        <v/>
      </c>
      <c r="CL14" s="11" t="str">
        <f t="shared" si="21"/>
        <v/>
      </c>
      <c r="CM14" s="11" t="str">
        <f t="shared" si="21"/>
        <v/>
      </c>
      <c r="CN14" s="11" t="str">
        <f t="shared" si="21"/>
        <v/>
      </c>
      <c r="CO14" s="11" t="str">
        <f t="shared" si="21"/>
        <v/>
      </c>
      <c r="CP14" s="11" t="str">
        <f t="shared" si="21"/>
        <v/>
      </c>
      <c r="CQ14" s="11" t="str">
        <f t="shared" si="21"/>
        <v/>
      </c>
      <c r="CR14" s="11" t="str">
        <f t="shared" si="21"/>
        <v/>
      </c>
      <c r="CS14" s="11" t="str">
        <f t="shared" si="22"/>
        <v/>
      </c>
      <c r="CT14" s="11" t="str">
        <f t="shared" si="22"/>
        <v/>
      </c>
      <c r="CU14" s="11" t="str">
        <f t="shared" si="22"/>
        <v/>
      </c>
      <c r="CV14" s="11" t="str">
        <f t="shared" si="22"/>
        <v/>
      </c>
      <c r="CW14" s="11" t="str">
        <f t="shared" si="22"/>
        <v/>
      </c>
      <c r="CX14" s="11" t="str">
        <f t="shared" si="22"/>
        <v/>
      </c>
      <c r="CY14" s="11" t="str">
        <f t="shared" si="22"/>
        <v/>
      </c>
      <c r="CZ14" s="11" t="str">
        <f t="shared" si="22"/>
        <v/>
      </c>
      <c r="DA14" s="11" t="str">
        <f t="shared" si="22"/>
        <v/>
      </c>
      <c r="DB14" s="11" t="str">
        <f t="shared" si="22"/>
        <v/>
      </c>
      <c r="DC14" s="11" t="str">
        <f t="shared" si="23"/>
        <v/>
      </c>
      <c r="DD14" s="11" t="str">
        <f t="shared" si="23"/>
        <v/>
      </c>
      <c r="DE14" s="11" t="str">
        <f t="shared" si="23"/>
        <v/>
      </c>
      <c r="DF14" s="11" t="str">
        <f t="shared" si="23"/>
        <v/>
      </c>
      <c r="DG14" s="11" t="str">
        <f t="shared" si="23"/>
        <v/>
      </c>
      <c r="DH14" s="11" t="str">
        <f t="shared" si="23"/>
        <v/>
      </c>
      <c r="DI14" s="11" t="str">
        <f t="shared" si="23"/>
        <v/>
      </c>
      <c r="DJ14" s="11" t="str">
        <f t="shared" si="23"/>
        <v/>
      </c>
      <c r="DK14" s="11" t="str">
        <f t="shared" si="23"/>
        <v/>
      </c>
      <c r="DL14" s="11" t="str">
        <f t="shared" si="23"/>
        <v/>
      </c>
      <c r="DM14" s="11" t="str">
        <f t="shared" si="24"/>
        <v/>
      </c>
      <c r="DN14" s="11" t="str">
        <f t="shared" si="24"/>
        <v/>
      </c>
      <c r="DO14" s="11" t="str">
        <f t="shared" si="24"/>
        <v/>
      </c>
      <c r="DP14" s="11" t="str">
        <f t="shared" si="24"/>
        <v/>
      </c>
      <c r="DQ14" s="11" t="str">
        <f t="shared" si="24"/>
        <v/>
      </c>
      <c r="DR14" s="11" t="str">
        <f t="shared" si="24"/>
        <v/>
      </c>
      <c r="DS14" s="11" t="str">
        <f t="shared" si="24"/>
        <v/>
      </c>
      <c r="DT14" s="11" t="str">
        <f t="shared" si="24"/>
        <v/>
      </c>
      <c r="DU14" s="11" t="str">
        <f t="shared" si="24"/>
        <v/>
      </c>
      <c r="DV14" s="11" t="str">
        <f t="shared" si="24"/>
        <v/>
      </c>
      <c r="DW14" s="11" t="str">
        <f t="shared" si="25"/>
        <v/>
      </c>
      <c r="DX14" s="11" t="str">
        <f t="shared" si="25"/>
        <v/>
      </c>
      <c r="DY14" s="11" t="str">
        <f t="shared" si="25"/>
        <v/>
      </c>
      <c r="DZ14" s="11" t="str">
        <f t="shared" si="25"/>
        <v/>
      </c>
      <c r="EA14" s="11" t="str">
        <f t="shared" si="25"/>
        <v/>
      </c>
      <c r="EB14" s="11" t="str">
        <f t="shared" si="25"/>
        <v/>
      </c>
      <c r="EC14" s="11" t="str">
        <f t="shared" si="25"/>
        <v/>
      </c>
      <c r="ED14" s="11" t="str">
        <f t="shared" si="25"/>
        <v/>
      </c>
      <c r="EE14" s="11" t="str">
        <f t="shared" si="25"/>
        <v/>
      </c>
      <c r="EF14" s="11" t="str">
        <f t="shared" si="25"/>
        <v/>
      </c>
      <c r="EG14" s="11" t="str">
        <f t="shared" si="25"/>
        <v/>
      </c>
      <c r="EH14" s="11" t="str">
        <f t="shared" si="25"/>
        <v/>
      </c>
    </row>
    <row r="15" spans="1:138" ht="13.5" customHeight="1">
      <c r="A15" s="55"/>
      <c r="B15" s="55"/>
      <c r="C15" s="55"/>
      <c r="D15" s="12" t="s">
        <v>80</v>
      </c>
      <c r="E15" s="10">
        <v>46256</v>
      </c>
      <c r="F15" s="10">
        <v>46263</v>
      </c>
      <c r="G15" s="13" t="str">
        <f t="shared" si="13"/>
        <v/>
      </c>
      <c r="H15" s="13" t="str">
        <f t="shared" si="13"/>
        <v/>
      </c>
      <c r="I15" s="13" t="str">
        <f t="shared" si="13"/>
        <v/>
      </c>
      <c r="J15" s="13" t="str">
        <f t="shared" si="13"/>
        <v/>
      </c>
      <c r="K15" s="13" t="str">
        <f t="shared" si="13"/>
        <v/>
      </c>
      <c r="L15" s="13" t="str">
        <f t="shared" si="13"/>
        <v/>
      </c>
      <c r="M15" s="13" t="str">
        <f t="shared" si="13"/>
        <v/>
      </c>
      <c r="N15" s="13" t="str">
        <f t="shared" si="13"/>
        <v/>
      </c>
      <c r="O15" s="13" t="str">
        <f t="shared" si="13"/>
        <v/>
      </c>
      <c r="P15" s="13" t="str">
        <f t="shared" si="13"/>
        <v/>
      </c>
      <c r="Q15" s="13" t="str">
        <f t="shared" si="14"/>
        <v/>
      </c>
      <c r="R15" s="13" t="str">
        <f t="shared" si="14"/>
        <v/>
      </c>
      <c r="S15" s="13" t="str">
        <f t="shared" si="14"/>
        <v/>
      </c>
      <c r="T15" s="13" t="str">
        <f t="shared" si="14"/>
        <v/>
      </c>
      <c r="U15" s="13" t="str">
        <f t="shared" si="14"/>
        <v/>
      </c>
      <c r="V15" s="13" t="str">
        <f t="shared" si="14"/>
        <v/>
      </c>
      <c r="W15" s="13" t="str">
        <f t="shared" si="14"/>
        <v/>
      </c>
      <c r="X15" s="13" t="str">
        <f t="shared" si="14"/>
        <v/>
      </c>
      <c r="Y15" s="13" t="str">
        <f t="shared" si="14"/>
        <v/>
      </c>
      <c r="Z15" s="13" t="str">
        <f t="shared" si="14"/>
        <v/>
      </c>
      <c r="AA15" s="13" t="str">
        <f t="shared" si="15"/>
        <v/>
      </c>
      <c r="AB15" s="13" t="str">
        <f t="shared" si="15"/>
        <v>▪</v>
      </c>
      <c r="AC15" s="13" t="str">
        <f t="shared" si="15"/>
        <v>▪</v>
      </c>
      <c r="AD15" s="13" t="str">
        <f t="shared" si="15"/>
        <v>▪</v>
      </c>
      <c r="AE15" s="13" t="str">
        <f t="shared" si="15"/>
        <v>▪</v>
      </c>
      <c r="AF15" s="13" t="str">
        <f t="shared" si="15"/>
        <v>▪</v>
      </c>
      <c r="AG15" s="13" t="str">
        <f t="shared" si="15"/>
        <v>▪</v>
      </c>
      <c r="AH15" s="13" t="str">
        <f t="shared" si="15"/>
        <v>▪</v>
      </c>
      <c r="AI15" s="13" t="str">
        <f t="shared" si="15"/>
        <v>▪</v>
      </c>
      <c r="AJ15" s="13" t="str">
        <f t="shared" si="15"/>
        <v/>
      </c>
      <c r="AK15" s="13" t="str">
        <f t="shared" si="16"/>
        <v/>
      </c>
      <c r="AL15" s="13" t="str">
        <f t="shared" si="16"/>
        <v/>
      </c>
      <c r="AM15" s="13" t="str">
        <f t="shared" si="16"/>
        <v/>
      </c>
      <c r="AN15" s="13" t="str">
        <f t="shared" si="16"/>
        <v/>
      </c>
      <c r="AO15" s="13" t="str">
        <f t="shared" si="16"/>
        <v/>
      </c>
      <c r="AP15" s="13" t="str">
        <f t="shared" si="16"/>
        <v/>
      </c>
      <c r="AQ15" s="13" t="str">
        <f t="shared" si="16"/>
        <v/>
      </c>
      <c r="AR15" s="13" t="str">
        <f t="shared" si="16"/>
        <v/>
      </c>
      <c r="AS15" s="13" t="str">
        <f t="shared" si="16"/>
        <v/>
      </c>
      <c r="AT15" s="13" t="str">
        <f t="shared" si="16"/>
        <v/>
      </c>
      <c r="AU15" s="13" t="str">
        <f t="shared" si="17"/>
        <v/>
      </c>
      <c r="AV15" s="13" t="str">
        <f t="shared" si="17"/>
        <v/>
      </c>
      <c r="AW15" s="13" t="str">
        <f t="shared" si="17"/>
        <v/>
      </c>
      <c r="AX15" s="13" t="str">
        <f t="shared" si="17"/>
        <v/>
      </c>
      <c r="AY15" s="13" t="str">
        <f t="shared" si="17"/>
        <v/>
      </c>
      <c r="AZ15" s="13" t="str">
        <f t="shared" si="17"/>
        <v/>
      </c>
      <c r="BA15" s="13" t="str">
        <f t="shared" si="17"/>
        <v/>
      </c>
      <c r="BB15" s="13" t="str">
        <f t="shared" si="17"/>
        <v/>
      </c>
      <c r="BC15" s="13" t="str">
        <f t="shared" si="17"/>
        <v/>
      </c>
      <c r="BD15" s="13" t="str">
        <f t="shared" si="17"/>
        <v/>
      </c>
      <c r="BE15" s="13" t="str">
        <f t="shared" si="18"/>
        <v/>
      </c>
      <c r="BF15" s="13" t="str">
        <f t="shared" si="18"/>
        <v/>
      </c>
      <c r="BG15" s="13" t="str">
        <f t="shared" si="18"/>
        <v/>
      </c>
      <c r="BH15" s="13" t="str">
        <f t="shared" si="18"/>
        <v/>
      </c>
      <c r="BI15" s="13" t="str">
        <f t="shared" si="18"/>
        <v/>
      </c>
      <c r="BJ15" s="13" t="str">
        <f t="shared" si="18"/>
        <v/>
      </c>
      <c r="BK15" s="13" t="str">
        <f t="shared" si="18"/>
        <v/>
      </c>
      <c r="BL15" s="13" t="str">
        <f t="shared" si="18"/>
        <v/>
      </c>
      <c r="BM15" s="13" t="str">
        <f t="shared" si="18"/>
        <v/>
      </c>
      <c r="BN15" s="13" t="str">
        <f t="shared" si="18"/>
        <v/>
      </c>
      <c r="BO15" s="13" t="str">
        <f t="shared" si="19"/>
        <v/>
      </c>
      <c r="BP15" s="13" t="str">
        <f t="shared" si="19"/>
        <v/>
      </c>
      <c r="BQ15" s="13" t="str">
        <f t="shared" si="19"/>
        <v/>
      </c>
      <c r="BR15" s="13" t="str">
        <f t="shared" si="19"/>
        <v/>
      </c>
      <c r="BS15" s="13" t="str">
        <f t="shared" si="19"/>
        <v/>
      </c>
      <c r="BT15" s="13" t="str">
        <f t="shared" si="19"/>
        <v/>
      </c>
      <c r="BU15" s="13" t="str">
        <f t="shared" si="19"/>
        <v/>
      </c>
      <c r="BV15" s="13" t="str">
        <f t="shared" si="19"/>
        <v/>
      </c>
      <c r="BW15" s="13" t="str">
        <f t="shared" si="19"/>
        <v/>
      </c>
      <c r="BX15" s="13" t="str">
        <f t="shared" si="19"/>
        <v/>
      </c>
      <c r="BY15" s="13" t="str">
        <f t="shared" si="20"/>
        <v/>
      </c>
      <c r="BZ15" s="13" t="str">
        <f t="shared" si="20"/>
        <v/>
      </c>
      <c r="CA15" s="13" t="str">
        <f t="shared" si="20"/>
        <v/>
      </c>
      <c r="CB15" s="13" t="str">
        <f t="shared" si="20"/>
        <v/>
      </c>
      <c r="CC15" s="13" t="str">
        <f t="shared" si="20"/>
        <v/>
      </c>
      <c r="CD15" s="13" t="str">
        <f t="shared" si="20"/>
        <v/>
      </c>
      <c r="CE15" s="13" t="str">
        <f t="shared" si="20"/>
        <v/>
      </c>
      <c r="CF15" s="13" t="str">
        <f t="shared" si="20"/>
        <v/>
      </c>
      <c r="CG15" s="13" t="str">
        <f t="shared" si="20"/>
        <v/>
      </c>
      <c r="CH15" s="13" t="str">
        <f t="shared" si="20"/>
        <v/>
      </c>
      <c r="CI15" s="13" t="str">
        <f t="shared" si="21"/>
        <v/>
      </c>
      <c r="CJ15" s="13" t="str">
        <f t="shared" si="21"/>
        <v/>
      </c>
      <c r="CK15" s="13" t="str">
        <f t="shared" si="21"/>
        <v/>
      </c>
      <c r="CL15" s="13" t="str">
        <f t="shared" si="21"/>
        <v/>
      </c>
      <c r="CM15" s="13" t="str">
        <f t="shared" si="21"/>
        <v/>
      </c>
      <c r="CN15" s="13" t="str">
        <f t="shared" si="21"/>
        <v/>
      </c>
      <c r="CO15" s="13" t="str">
        <f t="shared" si="21"/>
        <v/>
      </c>
      <c r="CP15" s="13" t="str">
        <f t="shared" si="21"/>
        <v/>
      </c>
      <c r="CQ15" s="13" t="str">
        <f t="shared" si="21"/>
        <v/>
      </c>
      <c r="CR15" s="13" t="str">
        <f t="shared" si="21"/>
        <v/>
      </c>
      <c r="CS15" s="13" t="str">
        <f t="shared" si="22"/>
        <v/>
      </c>
      <c r="CT15" s="13" t="str">
        <f t="shared" si="22"/>
        <v/>
      </c>
      <c r="CU15" s="13" t="str">
        <f t="shared" si="22"/>
        <v/>
      </c>
      <c r="CV15" s="13" t="str">
        <f t="shared" si="22"/>
        <v/>
      </c>
      <c r="CW15" s="13" t="str">
        <f t="shared" si="22"/>
        <v/>
      </c>
      <c r="CX15" s="13" t="str">
        <f t="shared" si="22"/>
        <v/>
      </c>
      <c r="CY15" s="13" t="str">
        <f t="shared" si="22"/>
        <v/>
      </c>
      <c r="CZ15" s="13" t="str">
        <f t="shared" si="22"/>
        <v/>
      </c>
      <c r="DA15" s="13" t="str">
        <f t="shared" si="22"/>
        <v/>
      </c>
      <c r="DB15" s="13" t="str">
        <f t="shared" si="22"/>
        <v/>
      </c>
      <c r="DC15" s="13" t="str">
        <f t="shared" si="23"/>
        <v/>
      </c>
      <c r="DD15" s="13" t="str">
        <f t="shared" si="23"/>
        <v/>
      </c>
      <c r="DE15" s="13" t="str">
        <f t="shared" si="23"/>
        <v/>
      </c>
      <c r="DF15" s="13" t="str">
        <f t="shared" si="23"/>
        <v/>
      </c>
      <c r="DG15" s="13" t="str">
        <f t="shared" si="23"/>
        <v/>
      </c>
      <c r="DH15" s="13" t="str">
        <f t="shared" si="23"/>
        <v/>
      </c>
      <c r="DI15" s="13" t="str">
        <f t="shared" si="23"/>
        <v/>
      </c>
      <c r="DJ15" s="13" t="str">
        <f t="shared" si="23"/>
        <v/>
      </c>
      <c r="DK15" s="13" t="str">
        <f t="shared" si="23"/>
        <v/>
      </c>
      <c r="DL15" s="13" t="str">
        <f t="shared" si="23"/>
        <v/>
      </c>
      <c r="DM15" s="13" t="str">
        <f t="shared" si="24"/>
        <v/>
      </c>
      <c r="DN15" s="13" t="str">
        <f t="shared" si="24"/>
        <v/>
      </c>
      <c r="DO15" s="13" t="str">
        <f t="shared" si="24"/>
        <v/>
      </c>
      <c r="DP15" s="13" t="str">
        <f t="shared" si="24"/>
        <v/>
      </c>
      <c r="DQ15" s="13" t="str">
        <f t="shared" si="24"/>
        <v/>
      </c>
      <c r="DR15" s="13" t="str">
        <f t="shared" si="24"/>
        <v/>
      </c>
      <c r="DS15" s="13" t="str">
        <f t="shared" si="24"/>
        <v/>
      </c>
      <c r="DT15" s="13" t="str">
        <f t="shared" si="24"/>
        <v/>
      </c>
      <c r="DU15" s="13" t="str">
        <f t="shared" si="24"/>
        <v/>
      </c>
      <c r="DV15" s="13" t="str">
        <f t="shared" si="24"/>
        <v/>
      </c>
      <c r="DW15" s="13" t="str">
        <f t="shared" si="25"/>
        <v/>
      </c>
      <c r="DX15" s="13" t="str">
        <f t="shared" si="25"/>
        <v/>
      </c>
      <c r="DY15" s="13" t="str">
        <f t="shared" si="25"/>
        <v/>
      </c>
      <c r="DZ15" s="13" t="str">
        <f t="shared" si="25"/>
        <v/>
      </c>
      <c r="EA15" s="13" t="str">
        <f t="shared" si="25"/>
        <v/>
      </c>
      <c r="EB15" s="13" t="str">
        <f t="shared" si="25"/>
        <v/>
      </c>
      <c r="EC15" s="13" t="str">
        <f t="shared" si="25"/>
        <v/>
      </c>
      <c r="ED15" s="13" t="str">
        <f t="shared" si="25"/>
        <v/>
      </c>
      <c r="EE15" s="13" t="str">
        <f t="shared" si="25"/>
        <v/>
      </c>
      <c r="EF15" s="13" t="str">
        <f t="shared" si="25"/>
        <v/>
      </c>
      <c r="EG15" s="13" t="str">
        <f t="shared" si="25"/>
        <v/>
      </c>
      <c r="EH15" s="13" t="str">
        <f t="shared" si="25"/>
        <v/>
      </c>
    </row>
    <row r="16" spans="1:138" ht="13.5" customHeight="1">
      <c r="A16" s="55" t="s">
        <v>93</v>
      </c>
      <c r="B16" s="56" t="s">
        <v>94</v>
      </c>
      <c r="C16" s="57" t="s">
        <v>95</v>
      </c>
      <c r="D16" s="9" t="s">
        <v>79</v>
      </c>
      <c r="E16" s="10">
        <v>46258</v>
      </c>
      <c r="F16" s="10">
        <v>46260</v>
      </c>
      <c r="G16" s="11" t="str">
        <f t="shared" si="13"/>
        <v/>
      </c>
      <c r="H16" s="11" t="str">
        <f t="shared" si="13"/>
        <v/>
      </c>
      <c r="I16" s="11" t="str">
        <f t="shared" si="13"/>
        <v/>
      </c>
      <c r="J16" s="11" t="str">
        <f t="shared" si="13"/>
        <v/>
      </c>
      <c r="K16" s="11" t="str">
        <f t="shared" si="13"/>
        <v/>
      </c>
      <c r="L16" s="11" t="str">
        <f t="shared" si="13"/>
        <v/>
      </c>
      <c r="M16" s="11" t="str">
        <f t="shared" si="13"/>
        <v/>
      </c>
      <c r="N16" s="11" t="str">
        <f t="shared" si="13"/>
        <v/>
      </c>
      <c r="O16" s="11" t="str">
        <f t="shared" si="13"/>
        <v/>
      </c>
      <c r="P16" s="11" t="str">
        <f t="shared" si="13"/>
        <v/>
      </c>
      <c r="Q16" s="11" t="str">
        <f t="shared" si="14"/>
        <v/>
      </c>
      <c r="R16" s="11" t="str">
        <f t="shared" si="14"/>
        <v/>
      </c>
      <c r="S16" s="11" t="str">
        <f t="shared" si="14"/>
        <v/>
      </c>
      <c r="T16" s="11" t="str">
        <f t="shared" si="14"/>
        <v/>
      </c>
      <c r="U16" s="11" t="str">
        <f t="shared" si="14"/>
        <v/>
      </c>
      <c r="V16" s="11" t="str">
        <f t="shared" si="14"/>
        <v/>
      </c>
      <c r="W16" s="11" t="str">
        <f t="shared" si="14"/>
        <v/>
      </c>
      <c r="X16" s="11" t="str">
        <f t="shared" si="14"/>
        <v/>
      </c>
      <c r="Y16" s="11" t="str">
        <f t="shared" si="14"/>
        <v/>
      </c>
      <c r="Z16" s="11" t="str">
        <f t="shared" si="14"/>
        <v/>
      </c>
      <c r="AA16" s="11" t="str">
        <f t="shared" si="15"/>
        <v/>
      </c>
      <c r="AB16" s="11" t="str">
        <f t="shared" si="15"/>
        <v/>
      </c>
      <c r="AC16" s="11" t="str">
        <f t="shared" si="15"/>
        <v/>
      </c>
      <c r="AD16" s="11" t="str">
        <f t="shared" si="15"/>
        <v>▪</v>
      </c>
      <c r="AE16" s="11" t="str">
        <f t="shared" si="15"/>
        <v>▪</v>
      </c>
      <c r="AF16" s="11" t="str">
        <f t="shared" si="15"/>
        <v>▪</v>
      </c>
      <c r="AG16" s="11" t="str">
        <f t="shared" si="15"/>
        <v/>
      </c>
      <c r="AH16" s="11" t="str">
        <f t="shared" si="15"/>
        <v/>
      </c>
      <c r="AI16" s="11" t="str">
        <f t="shared" si="15"/>
        <v/>
      </c>
      <c r="AJ16" s="11" t="str">
        <f t="shared" si="15"/>
        <v/>
      </c>
      <c r="AK16" s="11" t="str">
        <f t="shared" si="16"/>
        <v/>
      </c>
      <c r="AL16" s="11" t="str">
        <f t="shared" si="16"/>
        <v/>
      </c>
      <c r="AM16" s="11" t="str">
        <f t="shared" si="16"/>
        <v/>
      </c>
      <c r="AN16" s="11" t="str">
        <f t="shared" si="16"/>
        <v/>
      </c>
      <c r="AO16" s="11" t="str">
        <f t="shared" si="16"/>
        <v/>
      </c>
      <c r="AP16" s="11" t="str">
        <f t="shared" si="16"/>
        <v/>
      </c>
      <c r="AQ16" s="11" t="str">
        <f t="shared" si="16"/>
        <v/>
      </c>
      <c r="AR16" s="11" t="str">
        <f t="shared" si="16"/>
        <v/>
      </c>
      <c r="AS16" s="11" t="str">
        <f t="shared" si="16"/>
        <v/>
      </c>
      <c r="AT16" s="11" t="str">
        <f t="shared" si="16"/>
        <v/>
      </c>
      <c r="AU16" s="11" t="str">
        <f t="shared" si="17"/>
        <v/>
      </c>
      <c r="AV16" s="11" t="str">
        <f t="shared" si="17"/>
        <v/>
      </c>
      <c r="AW16" s="11" t="str">
        <f t="shared" si="17"/>
        <v/>
      </c>
      <c r="AX16" s="11" t="str">
        <f t="shared" si="17"/>
        <v/>
      </c>
      <c r="AY16" s="11" t="str">
        <f t="shared" si="17"/>
        <v/>
      </c>
      <c r="AZ16" s="11" t="str">
        <f t="shared" si="17"/>
        <v/>
      </c>
      <c r="BA16" s="11" t="str">
        <f t="shared" si="17"/>
        <v/>
      </c>
      <c r="BB16" s="11" t="str">
        <f t="shared" si="17"/>
        <v/>
      </c>
      <c r="BC16" s="11" t="str">
        <f t="shared" si="17"/>
        <v/>
      </c>
      <c r="BD16" s="11" t="str">
        <f t="shared" si="17"/>
        <v/>
      </c>
      <c r="BE16" s="11" t="str">
        <f t="shared" si="18"/>
        <v/>
      </c>
      <c r="BF16" s="11" t="str">
        <f t="shared" si="18"/>
        <v/>
      </c>
      <c r="BG16" s="11" t="str">
        <f t="shared" si="18"/>
        <v/>
      </c>
      <c r="BH16" s="11" t="str">
        <f t="shared" si="18"/>
        <v/>
      </c>
      <c r="BI16" s="11" t="str">
        <f t="shared" si="18"/>
        <v/>
      </c>
      <c r="BJ16" s="11" t="str">
        <f t="shared" si="18"/>
        <v/>
      </c>
      <c r="BK16" s="11" t="str">
        <f t="shared" si="18"/>
        <v/>
      </c>
      <c r="BL16" s="11" t="str">
        <f t="shared" si="18"/>
        <v/>
      </c>
      <c r="BM16" s="11" t="str">
        <f t="shared" si="18"/>
        <v/>
      </c>
      <c r="BN16" s="11" t="str">
        <f t="shared" si="18"/>
        <v/>
      </c>
      <c r="BO16" s="11" t="str">
        <f t="shared" si="19"/>
        <v/>
      </c>
      <c r="BP16" s="11" t="str">
        <f t="shared" si="19"/>
        <v/>
      </c>
      <c r="BQ16" s="11" t="str">
        <f t="shared" si="19"/>
        <v/>
      </c>
      <c r="BR16" s="11" t="str">
        <f t="shared" si="19"/>
        <v/>
      </c>
      <c r="BS16" s="11" t="str">
        <f t="shared" si="19"/>
        <v/>
      </c>
      <c r="BT16" s="11" t="str">
        <f t="shared" si="19"/>
        <v/>
      </c>
      <c r="BU16" s="11" t="str">
        <f t="shared" si="19"/>
        <v/>
      </c>
      <c r="BV16" s="11" t="str">
        <f t="shared" si="19"/>
        <v/>
      </c>
      <c r="BW16" s="11" t="str">
        <f t="shared" si="19"/>
        <v/>
      </c>
      <c r="BX16" s="11" t="str">
        <f t="shared" si="19"/>
        <v/>
      </c>
      <c r="BY16" s="11" t="str">
        <f t="shared" si="20"/>
        <v/>
      </c>
      <c r="BZ16" s="11" t="str">
        <f t="shared" si="20"/>
        <v/>
      </c>
      <c r="CA16" s="11" t="str">
        <f t="shared" si="20"/>
        <v/>
      </c>
      <c r="CB16" s="11" t="str">
        <f t="shared" si="20"/>
        <v/>
      </c>
      <c r="CC16" s="11" t="str">
        <f t="shared" si="20"/>
        <v/>
      </c>
      <c r="CD16" s="11" t="str">
        <f t="shared" si="20"/>
        <v/>
      </c>
      <c r="CE16" s="11" t="str">
        <f t="shared" si="20"/>
        <v/>
      </c>
      <c r="CF16" s="11" t="str">
        <f t="shared" si="20"/>
        <v/>
      </c>
      <c r="CG16" s="11" t="str">
        <f t="shared" si="20"/>
        <v/>
      </c>
      <c r="CH16" s="11" t="str">
        <f t="shared" si="20"/>
        <v/>
      </c>
      <c r="CI16" s="11" t="str">
        <f t="shared" si="21"/>
        <v/>
      </c>
      <c r="CJ16" s="11" t="str">
        <f t="shared" si="21"/>
        <v/>
      </c>
      <c r="CK16" s="11" t="str">
        <f t="shared" si="21"/>
        <v/>
      </c>
      <c r="CL16" s="11" t="str">
        <f t="shared" si="21"/>
        <v/>
      </c>
      <c r="CM16" s="11" t="str">
        <f t="shared" si="21"/>
        <v/>
      </c>
      <c r="CN16" s="11" t="str">
        <f t="shared" si="21"/>
        <v/>
      </c>
      <c r="CO16" s="11" t="str">
        <f t="shared" si="21"/>
        <v/>
      </c>
      <c r="CP16" s="11" t="str">
        <f t="shared" si="21"/>
        <v/>
      </c>
      <c r="CQ16" s="11" t="str">
        <f t="shared" si="21"/>
        <v/>
      </c>
      <c r="CR16" s="11" t="str">
        <f t="shared" si="21"/>
        <v/>
      </c>
      <c r="CS16" s="11" t="str">
        <f t="shared" si="22"/>
        <v/>
      </c>
      <c r="CT16" s="11" t="str">
        <f t="shared" si="22"/>
        <v/>
      </c>
      <c r="CU16" s="11" t="str">
        <f t="shared" si="22"/>
        <v/>
      </c>
      <c r="CV16" s="11" t="str">
        <f t="shared" si="22"/>
        <v/>
      </c>
      <c r="CW16" s="11" t="str">
        <f t="shared" si="22"/>
        <v/>
      </c>
      <c r="CX16" s="11" t="str">
        <f t="shared" si="22"/>
        <v/>
      </c>
      <c r="CY16" s="11" t="str">
        <f t="shared" si="22"/>
        <v/>
      </c>
      <c r="CZ16" s="11" t="str">
        <f t="shared" si="22"/>
        <v/>
      </c>
      <c r="DA16" s="11" t="str">
        <f t="shared" si="22"/>
        <v/>
      </c>
      <c r="DB16" s="11" t="str">
        <f t="shared" si="22"/>
        <v/>
      </c>
      <c r="DC16" s="11" t="str">
        <f t="shared" si="23"/>
        <v/>
      </c>
      <c r="DD16" s="11" t="str">
        <f t="shared" si="23"/>
        <v/>
      </c>
      <c r="DE16" s="11" t="str">
        <f t="shared" si="23"/>
        <v/>
      </c>
      <c r="DF16" s="11" t="str">
        <f t="shared" si="23"/>
        <v/>
      </c>
      <c r="DG16" s="11" t="str">
        <f t="shared" si="23"/>
        <v/>
      </c>
      <c r="DH16" s="11" t="str">
        <f t="shared" si="23"/>
        <v/>
      </c>
      <c r="DI16" s="11" t="str">
        <f t="shared" si="23"/>
        <v/>
      </c>
      <c r="DJ16" s="11" t="str">
        <f t="shared" si="23"/>
        <v/>
      </c>
      <c r="DK16" s="11" t="str">
        <f t="shared" si="23"/>
        <v/>
      </c>
      <c r="DL16" s="11" t="str">
        <f t="shared" si="23"/>
        <v/>
      </c>
      <c r="DM16" s="11" t="str">
        <f t="shared" si="24"/>
        <v/>
      </c>
      <c r="DN16" s="11" t="str">
        <f t="shared" si="24"/>
        <v/>
      </c>
      <c r="DO16" s="11" t="str">
        <f t="shared" si="24"/>
        <v/>
      </c>
      <c r="DP16" s="11" t="str">
        <f t="shared" si="24"/>
        <v/>
      </c>
      <c r="DQ16" s="11" t="str">
        <f t="shared" si="24"/>
        <v/>
      </c>
      <c r="DR16" s="11" t="str">
        <f t="shared" si="24"/>
        <v/>
      </c>
      <c r="DS16" s="11" t="str">
        <f t="shared" si="24"/>
        <v/>
      </c>
      <c r="DT16" s="11" t="str">
        <f t="shared" si="24"/>
        <v/>
      </c>
      <c r="DU16" s="11" t="str">
        <f t="shared" si="24"/>
        <v/>
      </c>
      <c r="DV16" s="11" t="str">
        <f t="shared" si="24"/>
        <v/>
      </c>
      <c r="DW16" s="11" t="str">
        <f t="shared" si="25"/>
        <v/>
      </c>
      <c r="DX16" s="11" t="str">
        <f t="shared" si="25"/>
        <v/>
      </c>
      <c r="DY16" s="11" t="str">
        <f t="shared" si="25"/>
        <v/>
      </c>
      <c r="DZ16" s="11" t="str">
        <f t="shared" si="25"/>
        <v/>
      </c>
      <c r="EA16" s="11" t="str">
        <f t="shared" si="25"/>
        <v/>
      </c>
      <c r="EB16" s="11" t="str">
        <f t="shared" si="25"/>
        <v/>
      </c>
      <c r="EC16" s="11" t="str">
        <f t="shared" si="25"/>
        <v/>
      </c>
      <c r="ED16" s="11" t="str">
        <f t="shared" si="25"/>
        <v/>
      </c>
      <c r="EE16" s="11" t="str">
        <f t="shared" si="25"/>
        <v/>
      </c>
      <c r="EF16" s="11" t="str">
        <f t="shared" si="25"/>
        <v/>
      </c>
      <c r="EG16" s="11" t="str">
        <f t="shared" si="25"/>
        <v/>
      </c>
      <c r="EH16" s="11" t="str">
        <f t="shared" si="25"/>
        <v/>
      </c>
    </row>
    <row r="17" spans="1:138" ht="13.5" customHeight="1">
      <c r="A17" s="55"/>
      <c r="B17" s="55"/>
      <c r="C17" s="55"/>
      <c r="D17" s="12" t="s">
        <v>80</v>
      </c>
      <c r="E17" s="10">
        <v>46256</v>
      </c>
      <c r="F17" s="10">
        <v>46263</v>
      </c>
      <c r="G17" s="13" t="str">
        <f t="shared" si="13"/>
        <v/>
      </c>
      <c r="H17" s="13" t="str">
        <f t="shared" si="13"/>
        <v/>
      </c>
      <c r="I17" s="13" t="str">
        <f t="shared" si="13"/>
        <v/>
      </c>
      <c r="J17" s="13" t="str">
        <f t="shared" si="13"/>
        <v/>
      </c>
      <c r="K17" s="13" t="str">
        <f t="shared" si="13"/>
        <v/>
      </c>
      <c r="L17" s="13" t="str">
        <f t="shared" si="13"/>
        <v/>
      </c>
      <c r="M17" s="13" t="str">
        <f t="shared" si="13"/>
        <v/>
      </c>
      <c r="N17" s="13" t="str">
        <f t="shared" si="13"/>
        <v/>
      </c>
      <c r="O17" s="13" t="str">
        <f t="shared" si="13"/>
        <v/>
      </c>
      <c r="P17" s="13" t="str">
        <f t="shared" si="13"/>
        <v/>
      </c>
      <c r="Q17" s="13" t="str">
        <f t="shared" si="14"/>
        <v/>
      </c>
      <c r="R17" s="13" t="str">
        <f t="shared" si="14"/>
        <v/>
      </c>
      <c r="S17" s="13" t="str">
        <f t="shared" si="14"/>
        <v/>
      </c>
      <c r="T17" s="13" t="str">
        <f t="shared" si="14"/>
        <v/>
      </c>
      <c r="U17" s="13" t="str">
        <f t="shared" si="14"/>
        <v/>
      </c>
      <c r="V17" s="13" t="str">
        <f t="shared" si="14"/>
        <v/>
      </c>
      <c r="W17" s="13" t="str">
        <f t="shared" si="14"/>
        <v/>
      </c>
      <c r="X17" s="13" t="str">
        <f t="shared" si="14"/>
        <v/>
      </c>
      <c r="Y17" s="13" t="str">
        <f t="shared" si="14"/>
        <v/>
      </c>
      <c r="Z17" s="13" t="str">
        <f t="shared" si="14"/>
        <v/>
      </c>
      <c r="AA17" s="13" t="str">
        <f t="shared" si="15"/>
        <v/>
      </c>
      <c r="AB17" s="13" t="str">
        <f t="shared" si="15"/>
        <v>▪</v>
      </c>
      <c r="AC17" s="13" t="str">
        <f t="shared" si="15"/>
        <v>▪</v>
      </c>
      <c r="AD17" s="13" t="str">
        <f t="shared" si="15"/>
        <v>▪</v>
      </c>
      <c r="AE17" s="13" t="str">
        <f t="shared" si="15"/>
        <v>▪</v>
      </c>
      <c r="AF17" s="13" t="str">
        <f t="shared" si="15"/>
        <v>▪</v>
      </c>
      <c r="AG17" s="13" t="str">
        <f t="shared" si="15"/>
        <v>▪</v>
      </c>
      <c r="AH17" s="13" t="str">
        <f t="shared" si="15"/>
        <v>▪</v>
      </c>
      <c r="AI17" s="13" t="str">
        <f t="shared" si="15"/>
        <v>▪</v>
      </c>
      <c r="AJ17" s="13" t="str">
        <f t="shared" si="15"/>
        <v/>
      </c>
      <c r="AK17" s="13" t="str">
        <f t="shared" si="16"/>
        <v/>
      </c>
      <c r="AL17" s="13" t="str">
        <f t="shared" si="16"/>
        <v/>
      </c>
      <c r="AM17" s="13" t="str">
        <f t="shared" si="16"/>
        <v/>
      </c>
      <c r="AN17" s="13" t="str">
        <f t="shared" si="16"/>
        <v/>
      </c>
      <c r="AO17" s="13" t="str">
        <f t="shared" si="16"/>
        <v/>
      </c>
      <c r="AP17" s="13" t="str">
        <f t="shared" si="16"/>
        <v/>
      </c>
      <c r="AQ17" s="13" t="str">
        <f t="shared" si="16"/>
        <v/>
      </c>
      <c r="AR17" s="13" t="str">
        <f t="shared" si="16"/>
        <v/>
      </c>
      <c r="AS17" s="13" t="str">
        <f t="shared" si="16"/>
        <v/>
      </c>
      <c r="AT17" s="13" t="str">
        <f t="shared" si="16"/>
        <v/>
      </c>
      <c r="AU17" s="13" t="str">
        <f t="shared" si="17"/>
        <v/>
      </c>
      <c r="AV17" s="13" t="str">
        <f t="shared" si="17"/>
        <v/>
      </c>
      <c r="AW17" s="13" t="str">
        <f t="shared" si="17"/>
        <v/>
      </c>
      <c r="AX17" s="13" t="str">
        <f t="shared" si="17"/>
        <v/>
      </c>
      <c r="AY17" s="13" t="str">
        <f t="shared" si="17"/>
        <v/>
      </c>
      <c r="AZ17" s="13" t="str">
        <f t="shared" si="17"/>
        <v/>
      </c>
      <c r="BA17" s="13" t="str">
        <f t="shared" si="17"/>
        <v/>
      </c>
      <c r="BB17" s="13" t="str">
        <f t="shared" si="17"/>
        <v/>
      </c>
      <c r="BC17" s="13" t="str">
        <f t="shared" si="17"/>
        <v/>
      </c>
      <c r="BD17" s="13" t="str">
        <f t="shared" si="17"/>
        <v/>
      </c>
      <c r="BE17" s="13" t="str">
        <f t="shared" si="18"/>
        <v/>
      </c>
      <c r="BF17" s="13" t="str">
        <f t="shared" si="18"/>
        <v/>
      </c>
      <c r="BG17" s="13" t="str">
        <f t="shared" si="18"/>
        <v/>
      </c>
      <c r="BH17" s="13" t="str">
        <f t="shared" si="18"/>
        <v/>
      </c>
      <c r="BI17" s="13" t="str">
        <f t="shared" si="18"/>
        <v/>
      </c>
      <c r="BJ17" s="13" t="str">
        <f t="shared" si="18"/>
        <v/>
      </c>
      <c r="BK17" s="13" t="str">
        <f t="shared" si="18"/>
        <v/>
      </c>
      <c r="BL17" s="13" t="str">
        <f t="shared" si="18"/>
        <v/>
      </c>
      <c r="BM17" s="13" t="str">
        <f t="shared" si="18"/>
        <v/>
      </c>
      <c r="BN17" s="13" t="str">
        <f t="shared" si="18"/>
        <v/>
      </c>
      <c r="BO17" s="13" t="str">
        <f t="shared" si="19"/>
        <v/>
      </c>
      <c r="BP17" s="13" t="str">
        <f t="shared" si="19"/>
        <v/>
      </c>
      <c r="BQ17" s="13" t="str">
        <f t="shared" si="19"/>
        <v/>
      </c>
      <c r="BR17" s="13" t="str">
        <f t="shared" si="19"/>
        <v/>
      </c>
      <c r="BS17" s="13" t="str">
        <f t="shared" si="19"/>
        <v/>
      </c>
      <c r="BT17" s="13" t="str">
        <f t="shared" si="19"/>
        <v/>
      </c>
      <c r="BU17" s="13" t="str">
        <f t="shared" si="19"/>
        <v/>
      </c>
      <c r="BV17" s="13" t="str">
        <f t="shared" si="19"/>
        <v/>
      </c>
      <c r="BW17" s="13" t="str">
        <f t="shared" si="19"/>
        <v/>
      </c>
      <c r="BX17" s="13" t="str">
        <f t="shared" si="19"/>
        <v/>
      </c>
      <c r="BY17" s="13" t="str">
        <f t="shared" si="20"/>
        <v/>
      </c>
      <c r="BZ17" s="13" t="str">
        <f t="shared" si="20"/>
        <v/>
      </c>
      <c r="CA17" s="13" t="str">
        <f t="shared" si="20"/>
        <v/>
      </c>
      <c r="CB17" s="13" t="str">
        <f t="shared" si="20"/>
        <v/>
      </c>
      <c r="CC17" s="13" t="str">
        <f t="shared" si="20"/>
        <v/>
      </c>
      <c r="CD17" s="13" t="str">
        <f t="shared" si="20"/>
        <v/>
      </c>
      <c r="CE17" s="13" t="str">
        <f t="shared" si="20"/>
        <v/>
      </c>
      <c r="CF17" s="13" t="str">
        <f t="shared" si="20"/>
        <v/>
      </c>
      <c r="CG17" s="13" t="str">
        <f t="shared" si="20"/>
        <v/>
      </c>
      <c r="CH17" s="13" t="str">
        <f t="shared" si="20"/>
        <v/>
      </c>
      <c r="CI17" s="13" t="str">
        <f t="shared" si="21"/>
        <v/>
      </c>
      <c r="CJ17" s="13" t="str">
        <f t="shared" si="21"/>
        <v/>
      </c>
      <c r="CK17" s="13" t="str">
        <f t="shared" si="21"/>
        <v/>
      </c>
      <c r="CL17" s="13" t="str">
        <f t="shared" si="21"/>
        <v/>
      </c>
      <c r="CM17" s="13" t="str">
        <f t="shared" si="21"/>
        <v/>
      </c>
      <c r="CN17" s="13" t="str">
        <f t="shared" si="21"/>
        <v/>
      </c>
      <c r="CO17" s="13" t="str">
        <f t="shared" si="21"/>
        <v/>
      </c>
      <c r="CP17" s="13" t="str">
        <f t="shared" si="21"/>
        <v/>
      </c>
      <c r="CQ17" s="13" t="str">
        <f t="shared" si="21"/>
        <v/>
      </c>
      <c r="CR17" s="13" t="str">
        <f t="shared" si="21"/>
        <v/>
      </c>
      <c r="CS17" s="13" t="str">
        <f t="shared" si="22"/>
        <v/>
      </c>
      <c r="CT17" s="13" t="str">
        <f t="shared" si="22"/>
        <v/>
      </c>
      <c r="CU17" s="13" t="str">
        <f t="shared" si="22"/>
        <v/>
      </c>
      <c r="CV17" s="13" t="str">
        <f t="shared" si="22"/>
        <v/>
      </c>
      <c r="CW17" s="13" t="str">
        <f t="shared" si="22"/>
        <v/>
      </c>
      <c r="CX17" s="13" t="str">
        <f t="shared" si="22"/>
        <v/>
      </c>
      <c r="CY17" s="13" t="str">
        <f t="shared" si="22"/>
        <v/>
      </c>
      <c r="CZ17" s="13" t="str">
        <f t="shared" si="22"/>
        <v/>
      </c>
      <c r="DA17" s="13" t="str">
        <f t="shared" si="22"/>
        <v/>
      </c>
      <c r="DB17" s="13" t="str">
        <f t="shared" si="22"/>
        <v/>
      </c>
      <c r="DC17" s="13" t="str">
        <f t="shared" si="23"/>
        <v/>
      </c>
      <c r="DD17" s="13" t="str">
        <f t="shared" si="23"/>
        <v/>
      </c>
      <c r="DE17" s="13" t="str">
        <f t="shared" si="23"/>
        <v/>
      </c>
      <c r="DF17" s="13" t="str">
        <f t="shared" si="23"/>
        <v/>
      </c>
      <c r="DG17" s="13" t="str">
        <f t="shared" si="23"/>
        <v/>
      </c>
      <c r="DH17" s="13" t="str">
        <f t="shared" si="23"/>
        <v/>
      </c>
      <c r="DI17" s="13" t="str">
        <f t="shared" si="23"/>
        <v/>
      </c>
      <c r="DJ17" s="13" t="str">
        <f t="shared" si="23"/>
        <v/>
      </c>
      <c r="DK17" s="13" t="str">
        <f t="shared" si="23"/>
        <v/>
      </c>
      <c r="DL17" s="13" t="str">
        <f t="shared" si="23"/>
        <v/>
      </c>
      <c r="DM17" s="13" t="str">
        <f t="shared" si="24"/>
        <v/>
      </c>
      <c r="DN17" s="13" t="str">
        <f t="shared" si="24"/>
        <v/>
      </c>
      <c r="DO17" s="13" t="str">
        <f t="shared" si="24"/>
        <v/>
      </c>
      <c r="DP17" s="13" t="str">
        <f t="shared" si="24"/>
        <v/>
      </c>
      <c r="DQ17" s="13" t="str">
        <f t="shared" si="24"/>
        <v/>
      </c>
      <c r="DR17" s="13" t="str">
        <f t="shared" si="24"/>
        <v/>
      </c>
      <c r="DS17" s="13" t="str">
        <f t="shared" si="24"/>
        <v/>
      </c>
      <c r="DT17" s="13" t="str">
        <f t="shared" si="24"/>
        <v/>
      </c>
      <c r="DU17" s="13" t="str">
        <f t="shared" si="24"/>
        <v/>
      </c>
      <c r="DV17" s="13" t="str">
        <f t="shared" si="24"/>
        <v/>
      </c>
      <c r="DW17" s="13" t="str">
        <f t="shared" si="25"/>
        <v/>
      </c>
      <c r="DX17" s="13" t="str">
        <f t="shared" si="25"/>
        <v/>
      </c>
      <c r="DY17" s="13" t="str">
        <f t="shared" si="25"/>
        <v/>
      </c>
      <c r="DZ17" s="13" t="str">
        <f t="shared" si="25"/>
        <v/>
      </c>
      <c r="EA17" s="13" t="str">
        <f t="shared" si="25"/>
        <v/>
      </c>
      <c r="EB17" s="13" t="str">
        <f t="shared" si="25"/>
        <v/>
      </c>
      <c r="EC17" s="13" t="str">
        <f t="shared" si="25"/>
        <v/>
      </c>
      <c r="ED17" s="13" t="str">
        <f t="shared" si="25"/>
        <v/>
      </c>
      <c r="EE17" s="13" t="str">
        <f t="shared" si="25"/>
        <v/>
      </c>
      <c r="EF17" s="13" t="str">
        <f t="shared" si="25"/>
        <v/>
      </c>
      <c r="EG17" s="13" t="str">
        <f t="shared" si="25"/>
        <v/>
      </c>
      <c r="EH17" s="13" t="str">
        <f t="shared" si="25"/>
        <v/>
      </c>
    </row>
    <row r="18" spans="1:138" ht="13.5" customHeight="1">
      <c r="A18" s="55" t="s">
        <v>96</v>
      </c>
      <c r="B18" s="56" t="s">
        <v>97</v>
      </c>
      <c r="C18" s="57" t="s">
        <v>95</v>
      </c>
      <c r="D18" s="9" t="s">
        <v>79</v>
      </c>
      <c r="E18" s="10">
        <v>46261</v>
      </c>
      <c r="F18" s="10">
        <v>46262</v>
      </c>
      <c r="G18" s="11" t="str">
        <f t="shared" si="13"/>
        <v/>
      </c>
      <c r="H18" s="11" t="str">
        <f t="shared" si="13"/>
        <v/>
      </c>
      <c r="I18" s="11" t="str">
        <f t="shared" si="13"/>
        <v/>
      </c>
      <c r="J18" s="11" t="str">
        <f t="shared" si="13"/>
        <v/>
      </c>
      <c r="K18" s="11" t="str">
        <f t="shared" si="13"/>
        <v/>
      </c>
      <c r="L18" s="11" t="str">
        <f t="shared" si="13"/>
        <v/>
      </c>
      <c r="M18" s="11" t="str">
        <f t="shared" si="13"/>
        <v/>
      </c>
      <c r="N18" s="11" t="str">
        <f t="shared" si="13"/>
        <v/>
      </c>
      <c r="O18" s="11" t="str">
        <f t="shared" si="13"/>
        <v/>
      </c>
      <c r="P18" s="11" t="str">
        <f t="shared" si="13"/>
        <v/>
      </c>
      <c r="Q18" s="11" t="str">
        <f t="shared" si="14"/>
        <v/>
      </c>
      <c r="R18" s="11" t="str">
        <f t="shared" si="14"/>
        <v/>
      </c>
      <c r="S18" s="11" t="str">
        <f t="shared" si="14"/>
        <v/>
      </c>
      <c r="T18" s="11" t="str">
        <f t="shared" si="14"/>
        <v/>
      </c>
      <c r="U18" s="11" t="str">
        <f t="shared" si="14"/>
        <v/>
      </c>
      <c r="V18" s="11" t="str">
        <f t="shared" si="14"/>
        <v/>
      </c>
      <c r="W18" s="11" t="str">
        <f t="shared" si="14"/>
        <v/>
      </c>
      <c r="X18" s="11" t="str">
        <f t="shared" si="14"/>
        <v/>
      </c>
      <c r="Y18" s="11" t="str">
        <f t="shared" si="14"/>
        <v/>
      </c>
      <c r="Z18" s="11" t="str">
        <f t="shared" si="14"/>
        <v/>
      </c>
      <c r="AA18" s="11" t="str">
        <f t="shared" si="15"/>
        <v/>
      </c>
      <c r="AB18" s="11" t="str">
        <f t="shared" si="15"/>
        <v/>
      </c>
      <c r="AC18" s="11" t="str">
        <f t="shared" si="15"/>
        <v/>
      </c>
      <c r="AD18" s="11" t="str">
        <f t="shared" si="15"/>
        <v/>
      </c>
      <c r="AE18" s="11" t="str">
        <f t="shared" si="15"/>
        <v/>
      </c>
      <c r="AF18" s="11" t="str">
        <f t="shared" si="15"/>
        <v/>
      </c>
      <c r="AG18" s="11" t="str">
        <f t="shared" si="15"/>
        <v>▪</v>
      </c>
      <c r="AH18" s="11" t="str">
        <f t="shared" si="15"/>
        <v>▪</v>
      </c>
      <c r="AI18" s="11" t="str">
        <f t="shared" si="15"/>
        <v/>
      </c>
      <c r="AJ18" s="11" t="str">
        <f t="shared" si="15"/>
        <v/>
      </c>
      <c r="AK18" s="11" t="str">
        <f t="shared" si="16"/>
        <v/>
      </c>
      <c r="AL18" s="11" t="str">
        <f t="shared" si="16"/>
        <v/>
      </c>
      <c r="AM18" s="11" t="str">
        <f t="shared" si="16"/>
        <v/>
      </c>
      <c r="AN18" s="11" t="str">
        <f t="shared" si="16"/>
        <v/>
      </c>
      <c r="AO18" s="11" t="str">
        <f t="shared" si="16"/>
        <v/>
      </c>
      <c r="AP18" s="11" t="str">
        <f t="shared" si="16"/>
        <v/>
      </c>
      <c r="AQ18" s="11" t="str">
        <f t="shared" si="16"/>
        <v/>
      </c>
      <c r="AR18" s="11" t="str">
        <f t="shared" si="16"/>
        <v/>
      </c>
      <c r="AS18" s="11" t="str">
        <f t="shared" si="16"/>
        <v/>
      </c>
      <c r="AT18" s="11" t="str">
        <f t="shared" si="16"/>
        <v/>
      </c>
      <c r="AU18" s="11" t="str">
        <f t="shared" si="17"/>
        <v/>
      </c>
      <c r="AV18" s="11" t="str">
        <f t="shared" si="17"/>
        <v/>
      </c>
      <c r="AW18" s="11" t="str">
        <f t="shared" si="17"/>
        <v/>
      </c>
      <c r="AX18" s="11" t="str">
        <f t="shared" si="17"/>
        <v/>
      </c>
      <c r="AY18" s="11" t="str">
        <f t="shared" si="17"/>
        <v/>
      </c>
      <c r="AZ18" s="11" t="str">
        <f t="shared" si="17"/>
        <v/>
      </c>
      <c r="BA18" s="11" t="str">
        <f t="shared" si="17"/>
        <v/>
      </c>
      <c r="BB18" s="11" t="str">
        <f t="shared" si="17"/>
        <v/>
      </c>
      <c r="BC18" s="11" t="str">
        <f t="shared" si="17"/>
        <v/>
      </c>
      <c r="BD18" s="11" t="str">
        <f t="shared" si="17"/>
        <v/>
      </c>
      <c r="BE18" s="11" t="str">
        <f t="shared" si="18"/>
        <v/>
      </c>
      <c r="BF18" s="11" t="str">
        <f t="shared" si="18"/>
        <v/>
      </c>
      <c r="BG18" s="11" t="str">
        <f t="shared" si="18"/>
        <v/>
      </c>
      <c r="BH18" s="11" t="str">
        <f t="shared" si="18"/>
        <v/>
      </c>
      <c r="BI18" s="11" t="str">
        <f t="shared" si="18"/>
        <v/>
      </c>
      <c r="BJ18" s="11" t="str">
        <f t="shared" si="18"/>
        <v/>
      </c>
      <c r="BK18" s="11" t="str">
        <f t="shared" si="18"/>
        <v/>
      </c>
      <c r="BL18" s="11" t="str">
        <f t="shared" si="18"/>
        <v/>
      </c>
      <c r="BM18" s="11" t="str">
        <f t="shared" si="18"/>
        <v/>
      </c>
      <c r="BN18" s="11" t="str">
        <f t="shared" si="18"/>
        <v/>
      </c>
      <c r="BO18" s="11" t="str">
        <f t="shared" si="19"/>
        <v/>
      </c>
      <c r="BP18" s="11" t="str">
        <f t="shared" si="19"/>
        <v/>
      </c>
      <c r="BQ18" s="11" t="str">
        <f t="shared" si="19"/>
        <v/>
      </c>
      <c r="BR18" s="11" t="str">
        <f t="shared" si="19"/>
        <v/>
      </c>
      <c r="BS18" s="11" t="str">
        <f t="shared" si="19"/>
        <v/>
      </c>
      <c r="BT18" s="11" t="str">
        <f t="shared" si="19"/>
        <v/>
      </c>
      <c r="BU18" s="11" t="str">
        <f t="shared" si="19"/>
        <v/>
      </c>
      <c r="BV18" s="11" t="str">
        <f t="shared" si="19"/>
        <v/>
      </c>
      <c r="BW18" s="11" t="str">
        <f t="shared" si="19"/>
        <v/>
      </c>
      <c r="BX18" s="11" t="str">
        <f t="shared" si="19"/>
        <v/>
      </c>
      <c r="BY18" s="11" t="str">
        <f t="shared" si="20"/>
        <v/>
      </c>
      <c r="BZ18" s="11" t="str">
        <f t="shared" si="20"/>
        <v/>
      </c>
      <c r="CA18" s="11" t="str">
        <f t="shared" si="20"/>
        <v/>
      </c>
      <c r="CB18" s="11" t="str">
        <f t="shared" si="20"/>
        <v/>
      </c>
      <c r="CC18" s="11" t="str">
        <f t="shared" si="20"/>
        <v/>
      </c>
      <c r="CD18" s="11" t="str">
        <f t="shared" si="20"/>
        <v/>
      </c>
      <c r="CE18" s="11" t="str">
        <f t="shared" si="20"/>
        <v/>
      </c>
      <c r="CF18" s="11" t="str">
        <f t="shared" si="20"/>
        <v/>
      </c>
      <c r="CG18" s="11" t="str">
        <f t="shared" si="20"/>
        <v/>
      </c>
      <c r="CH18" s="11" t="str">
        <f t="shared" si="20"/>
        <v/>
      </c>
      <c r="CI18" s="11" t="str">
        <f t="shared" si="21"/>
        <v/>
      </c>
      <c r="CJ18" s="11" t="str">
        <f t="shared" si="21"/>
        <v/>
      </c>
      <c r="CK18" s="11" t="str">
        <f t="shared" si="21"/>
        <v/>
      </c>
      <c r="CL18" s="11" t="str">
        <f t="shared" si="21"/>
        <v/>
      </c>
      <c r="CM18" s="11" t="str">
        <f t="shared" si="21"/>
        <v/>
      </c>
      <c r="CN18" s="11" t="str">
        <f t="shared" si="21"/>
        <v/>
      </c>
      <c r="CO18" s="11" t="str">
        <f t="shared" si="21"/>
        <v/>
      </c>
      <c r="CP18" s="11" t="str">
        <f t="shared" si="21"/>
        <v/>
      </c>
      <c r="CQ18" s="11" t="str">
        <f t="shared" si="21"/>
        <v/>
      </c>
      <c r="CR18" s="11" t="str">
        <f t="shared" si="21"/>
        <v/>
      </c>
      <c r="CS18" s="11" t="str">
        <f t="shared" si="22"/>
        <v/>
      </c>
      <c r="CT18" s="11" t="str">
        <f t="shared" si="22"/>
        <v/>
      </c>
      <c r="CU18" s="11" t="str">
        <f t="shared" si="22"/>
        <v/>
      </c>
      <c r="CV18" s="11" t="str">
        <f t="shared" si="22"/>
        <v/>
      </c>
      <c r="CW18" s="11" t="str">
        <f t="shared" si="22"/>
        <v/>
      </c>
      <c r="CX18" s="11" t="str">
        <f t="shared" si="22"/>
        <v/>
      </c>
      <c r="CY18" s="11" t="str">
        <f t="shared" si="22"/>
        <v/>
      </c>
      <c r="CZ18" s="11" t="str">
        <f t="shared" si="22"/>
        <v/>
      </c>
      <c r="DA18" s="11" t="str">
        <f t="shared" si="22"/>
        <v/>
      </c>
      <c r="DB18" s="11" t="str">
        <f t="shared" si="22"/>
        <v/>
      </c>
      <c r="DC18" s="11" t="str">
        <f t="shared" si="23"/>
        <v/>
      </c>
      <c r="DD18" s="11" t="str">
        <f t="shared" si="23"/>
        <v/>
      </c>
      <c r="DE18" s="11" t="str">
        <f t="shared" si="23"/>
        <v/>
      </c>
      <c r="DF18" s="11" t="str">
        <f t="shared" si="23"/>
        <v/>
      </c>
      <c r="DG18" s="11" t="str">
        <f t="shared" si="23"/>
        <v/>
      </c>
      <c r="DH18" s="11" t="str">
        <f t="shared" si="23"/>
        <v/>
      </c>
      <c r="DI18" s="11" t="str">
        <f t="shared" si="23"/>
        <v/>
      </c>
      <c r="DJ18" s="11" t="str">
        <f t="shared" si="23"/>
        <v/>
      </c>
      <c r="DK18" s="11" t="str">
        <f t="shared" si="23"/>
        <v/>
      </c>
      <c r="DL18" s="11" t="str">
        <f t="shared" si="23"/>
        <v/>
      </c>
      <c r="DM18" s="11" t="str">
        <f t="shared" si="24"/>
        <v/>
      </c>
      <c r="DN18" s="11" t="str">
        <f t="shared" si="24"/>
        <v/>
      </c>
      <c r="DO18" s="11" t="str">
        <f t="shared" si="24"/>
        <v/>
      </c>
      <c r="DP18" s="11" t="str">
        <f t="shared" si="24"/>
        <v/>
      </c>
      <c r="DQ18" s="11" t="str">
        <f t="shared" si="24"/>
        <v/>
      </c>
      <c r="DR18" s="11" t="str">
        <f t="shared" si="24"/>
        <v/>
      </c>
      <c r="DS18" s="11" t="str">
        <f t="shared" si="24"/>
        <v/>
      </c>
      <c r="DT18" s="11" t="str">
        <f t="shared" si="24"/>
        <v/>
      </c>
      <c r="DU18" s="11" t="str">
        <f t="shared" si="24"/>
        <v/>
      </c>
      <c r="DV18" s="11" t="str">
        <f t="shared" si="24"/>
        <v/>
      </c>
      <c r="DW18" s="11" t="str">
        <f t="shared" si="25"/>
        <v/>
      </c>
      <c r="DX18" s="11" t="str">
        <f t="shared" si="25"/>
        <v/>
      </c>
      <c r="DY18" s="11" t="str">
        <f t="shared" si="25"/>
        <v/>
      </c>
      <c r="DZ18" s="11" t="str">
        <f t="shared" si="25"/>
        <v/>
      </c>
      <c r="EA18" s="11" t="str">
        <f t="shared" si="25"/>
        <v/>
      </c>
      <c r="EB18" s="11" t="str">
        <f t="shared" si="25"/>
        <v/>
      </c>
      <c r="EC18" s="11" t="str">
        <f t="shared" si="25"/>
        <v/>
      </c>
      <c r="ED18" s="11" t="str">
        <f t="shared" si="25"/>
        <v/>
      </c>
      <c r="EE18" s="11" t="str">
        <f t="shared" si="25"/>
        <v/>
      </c>
      <c r="EF18" s="11" t="str">
        <f t="shared" si="25"/>
        <v/>
      </c>
      <c r="EG18" s="11" t="str">
        <f t="shared" si="25"/>
        <v/>
      </c>
      <c r="EH18" s="11" t="str">
        <f t="shared" si="25"/>
        <v/>
      </c>
    </row>
    <row r="19" spans="1:138" ht="13.5" customHeight="1">
      <c r="A19" s="55"/>
      <c r="B19" s="55"/>
      <c r="C19" s="55"/>
      <c r="D19" s="12" t="s">
        <v>80</v>
      </c>
      <c r="E19" s="10">
        <v>46256</v>
      </c>
      <c r="F19" s="10">
        <v>46263</v>
      </c>
      <c r="G19" s="13" t="str">
        <f t="shared" si="13"/>
        <v/>
      </c>
      <c r="H19" s="13" t="str">
        <f t="shared" si="13"/>
        <v/>
      </c>
      <c r="I19" s="13" t="str">
        <f t="shared" si="13"/>
        <v/>
      </c>
      <c r="J19" s="13" t="str">
        <f t="shared" si="13"/>
        <v/>
      </c>
      <c r="K19" s="13" t="str">
        <f t="shared" si="13"/>
        <v/>
      </c>
      <c r="L19" s="13" t="str">
        <f t="shared" si="13"/>
        <v/>
      </c>
      <c r="M19" s="13" t="str">
        <f t="shared" si="13"/>
        <v/>
      </c>
      <c r="N19" s="13" t="str">
        <f t="shared" si="13"/>
        <v/>
      </c>
      <c r="O19" s="13" t="str">
        <f t="shared" si="13"/>
        <v/>
      </c>
      <c r="P19" s="13" t="str">
        <f t="shared" si="13"/>
        <v/>
      </c>
      <c r="Q19" s="13" t="str">
        <f t="shared" si="14"/>
        <v/>
      </c>
      <c r="R19" s="13" t="str">
        <f t="shared" si="14"/>
        <v/>
      </c>
      <c r="S19" s="13" t="str">
        <f t="shared" si="14"/>
        <v/>
      </c>
      <c r="T19" s="13" t="str">
        <f t="shared" si="14"/>
        <v/>
      </c>
      <c r="U19" s="13" t="str">
        <f t="shared" si="14"/>
        <v/>
      </c>
      <c r="V19" s="13" t="str">
        <f t="shared" si="14"/>
        <v/>
      </c>
      <c r="W19" s="13" t="str">
        <f t="shared" si="14"/>
        <v/>
      </c>
      <c r="X19" s="13" t="str">
        <f t="shared" si="14"/>
        <v/>
      </c>
      <c r="Y19" s="13" t="str">
        <f t="shared" si="14"/>
        <v/>
      </c>
      <c r="Z19" s="13" t="str">
        <f t="shared" si="14"/>
        <v/>
      </c>
      <c r="AA19" s="13" t="str">
        <f t="shared" si="15"/>
        <v/>
      </c>
      <c r="AB19" s="13" t="str">
        <f t="shared" si="15"/>
        <v>▪</v>
      </c>
      <c r="AC19" s="13" t="str">
        <f t="shared" si="15"/>
        <v>▪</v>
      </c>
      <c r="AD19" s="13" t="str">
        <f t="shared" si="15"/>
        <v>▪</v>
      </c>
      <c r="AE19" s="13" t="str">
        <f t="shared" si="15"/>
        <v>▪</v>
      </c>
      <c r="AF19" s="13" t="str">
        <f t="shared" si="15"/>
        <v>▪</v>
      </c>
      <c r="AG19" s="13" t="str">
        <f t="shared" si="15"/>
        <v>▪</v>
      </c>
      <c r="AH19" s="13" t="str">
        <f t="shared" si="15"/>
        <v>▪</v>
      </c>
      <c r="AI19" s="13" t="str">
        <f t="shared" si="15"/>
        <v>▪</v>
      </c>
      <c r="AJ19" s="13" t="str">
        <f t="shared" si="15"/>
        <v/>
      </c>
      <c r="AK19" s="13" t="str">
        <f t="shared" si="16"/>
        <v/>
      </c>
      <c r="AL19" s="13" t="str">
        <f t="shared" si="16"/>
        <v/>
      </c>
      <c r="AM19" s="13" t="str">
        <f t="shared" si="16"/>
        <v/>
      </c>
      <c r="AN19" s="13" t="str">
        <f t="shared" si="16"/>
        <v/>
      </c>
      <c r="AO19" s="13" t="str">
        <f t="shared" si="16"/>
        <v/>
      </c>
      <c r="AP19" s="13" t="str">
        <f t="shared" si="16"/>
        <v/>
      </c>
      <c r="AQ19" s="13" t="str">
        <f t="shared" si="16"/>
        <v/>
      </c>
      <c r="AR19" s="13" t="str">
        <f t="shared" si="16"/>
        <v/>
      </c>
      <c r="AS19" s="13" t="str">
        <f t="shared" si="16"/>
        <v/>
      </c>
      <c r="AT19" s="13" t="str">
        <f t="shared" si="16"/>
        <v/>
      </c>
      <c r="AU19" s="13" t="str">
        <f t="shared" si="17"/>
        <v/>
      </c>
      <c r="AV19" s="13" t="str">
        <f t="shared" si="17"/>
        <v/>
      </c>
      <c r="AW19" s="13" t="str">
        <f t="shared" si="17"/>
        <v/>
      </c>
      <c r="AX19" s="13" t="str">
        <f t="shared" si="17"/>
        <v/>
      </c>
      <c r="AY19" s="13" t="str">
        <f t="shared" si="17"/>
        <v/>
      </c>
      <c r="AZ19" s="13" t="str">
        <f t="shared" si="17"/>
        <v/>
      </c>
      <c r="BA19" s="13" t="str">
        <f t="shared" si="17"/>
        <v/>
      </c>
      <c r="BB19" s="13" t="str">
        <f t="shared" si="17"/>
        <v/>
      </c>
      <c r="BC19" s="13" t="str">
        <f t="shared" si="17"/>
        <v/>
      </c>
      <c r="BD19" s="13" t="str">
        <f t="shared" si="17"/>
        <v/>
      </c>
      <c r="BE19" s="13" t="str">
        <f t="shared" si="18"/>
        <v/>
      </c>
      <c r="BF19" s="13" t="str">
        <f t="shared" si="18"/>
        <v/>
      </c>
      <c r="BG19" s="13" t="str">
        <f t="shared" si="18"/>
        <v/>
      </c>
      <c r="BH19" s="13" t="str">
        <f t="shared" si="18"/>
        <v/>
      </c>
      <c r="BI19" s="13" t="str">
        <f t="shared" si="18"/>
        <v/>
      </c>
      <c r="BJ19" s="13" t="str">
        <f t="shared" si="18"/>
        <v/>
      </c>
      <c r="BK19" s="13" t="str">
        <f t="shared" si="18"/>
        <v/>
      </c>
      <c r="BL19" s="13" t="str">
        <f t="shared" si="18"/>
        <v/>
      </c>
      <c r="BM19" s="13" t="str">
        <f t="shared" si="18"/>
        <v/>
      </c>
      <c r="BN19" s="13" t="str">
        <f t="shared" si="18"/>
        <v/>
      </c>
      <c r="BO19" s="13" t="str">
        <f t="shared" si="19"/>
        <v/>
      </c>
      <c r="BP19" s="13" t="str">
        <f t="shared" si="19"/>
        <v/>
      </c>
      <c r="BQ19" s="13" t="str">
        <f t="shared" si="19"/>
        <v/>
      </c>
      <c r="BR19" s="13" t="str">
        <f t="shared" si="19"/>
        <v/>
      </c>
      <c r="BS19" s="13" t="str">
        <f t="shared" si="19"/>
        <v/>
      </c>
      <c r="BT19" s="13" t="str">
        <f t="shared" si="19"/>
        <v/>
      </c>
      <c r="BU19" s="13" t="str">
        <f t="shared" si="19"/>
        <v/>
      </c>
      <c r="BV19" s="13" t="str">
        <f t="shared" si="19"/>
        <v/>
      </c>
      <c r="BW19" s="13" t="str">
        <f t="shared" si="19"/>
        <v/>
      </c>
      <c r="BX19" s="13" t="str">
        <f t="shared" si="19"/>
        <v/>
      </c>
      <c r="BY19" s="13" t="str">
        <f t="shared" si="20"/>
        <v/>
      </c>
      <c r="BZ19" s="13" t="str">
        <f t="shared" si="20"/>
        <v/>
      </c>
      <c r="CA19" s="13" t="str">
        <f t="shared" si="20"/>
        <v/>
      </c>
      <c r="CB19" s="13" t="str">
        <f t="shared" si="20"/>
        <v/>
      </c>
      <c r="CC19" s="13" t="str">
        <f t="shared" si="20"/>
        <v/>
      </c>
      <c r="CD19" s="13" t="str">
        <f t="shared" si="20"/>
        <v/>
      </c>
      <c r="CE19" s="13" t="str">
        <f t="shared" si="20"/>
        <v/>
      </c>
      <c r="CF19" s="13" t="str">
        <f t="shared" si="20"/>
        <v/>
      </c>
      <c r="CG19" s="13" t="str">
        <f t="shared" si="20"/>
        <v/>
      </c>
      <c r="CH19" s="13" t="str">
        <f t="shared" si="20"/>
        <v/>
      </c>
      <c r="CI19" s="13" t="str">
        <f t="shared" si="21"/>
        <v/>
      </c>
      <c r="CJ19" s="13" t="str">
        <f t="shared" si="21"/>
        <v/>
      </c>
      <c r="CK19" s="13" t="str">
        <f t="shared" si="21"/>
        <v/>
      </c>
      <c r="CL19" s="13" t="str">
        <f t="shared" si="21"/>
        <v/>
      </c>
      <c r="CM19" s="13" t="str">
        <f t="shared" si="21"/>
        <v/>
      </c>
      <c r="CN19" s="13" t="str">
        <f t="shared" si="21"/>
        <v/>
      </c>
      <c r="CO19" s="13" t="str">
        <f t="shared" si="21"/>
        <v/>
      </c>
      <c r="CP19" s="13" t="str">
        <f t="shared" si="21"/>
        <v/>
      </c>
      <c r="CQ19" s="13" t="str">
        <f t="shared" si="21"/>
        <v/>
      </c>
      <c r="CR19" s="13" t="str">
        <f t="shared" si="21"/>
        <v/>
      </c>
      <c r="CS19" s="13" t="str">
        <f t="shared" si="22"/>
        <v/>
      </c>
      <c r="CT19" s="13" t="str">
        <f t="shared" si="22"/>
        <v/>
      </c>
      <c r="CU19" s="13" t="str">
        <f t="shared" si="22"/>
        <v/>
      </c>
      <c r="CV19" s="13" t="str">
        <f t="shared" si="22"/>
        <v/>
      </c>
      <c r="CW19" s="13" t="str">
        <f t="shared" si="22"/>
        <v/>
      </c>
      <c r="CX19" s="13" t="str">
        <f t="shared" si="22"/>
        <v/>
      </c>
      <c r="CY19" s="13" t="str">
        <f t="shared" si="22"/>
        <v/>
      </c>
      <c r="CZ19" s="13" t="str">
        <f t="shared" si="22"/>
        <v/>
      </c>
      <c r="DA19" s="13" t="str">
        <f t="shared" si="22"/>
        <v/>
      </c>
      <c r="DB19" s="13" t="str">
        <f t="shared" si="22"/>
        <v/>
      </c>
      <c r="DC19" s="13" t="str">
        <f t="shared" si="23"/>
        <v/>
      </c>
      <c r="DD19" s="13" t="str">
        <f t="shared" si="23"/>
        <v/>
      </c>
      <c r="DE19" s="13" t="str">
        <f t="shared" si="23"/>
        <v/>
      </c>
      <c r="DF19" s="13" t="str">
        <f t="shared" si="23"/>
        <v/>
      </c>
      <c r="DG19" s="13" t="str">
        <f t="shared" si="23"/>
        <v/>
      </c>
      <c r="DH19" s="13" t="str">
        <f t="shared" si="23"/>
        <v/>
      </c>
      <c r="DI19" s="13" t="str">
        <f t="shared" si="23"/>
        <v/>
      </c>
      <c r="DJ19" s="13" t="str">
        <f t="shared" si="23"/>
        <v/>
      </c>
      <c r="DK19" s="13" t="str">
        <f t="shared" si="23"/>
        <v/>
      </c>
      <c r="DL19" s="13" t="str">
        <f t="shared" si="23"/>
        <v/>
      </c>
      <c r="DM19" s="13" t="str">
        <f t="shared" si="24"/>
        <v/>
      </c>
      <c r="DN19" s="13" t="str">
        <f t="shared" si="24"/>
        <v/>
      </c>
      <c r="DO19" s="13" t="str">
        <f t="shared" si="24"/>
        <v/>
      </c>
      <c r="DP19" s="13" t="str">
        <f t="shared" si="24"/>
        <v/>
      </c>
      <c r="DQ19" s="13" t="str">
        <f t="shared" si="24"/>
        <v/>
      </c>
      <c r="DR19" s="13" t="str">
        <f t="shared" si="24"/>
        <v/>
      </c>
      <c r="DS19" s="13" t="str">
        <f t="shared" si="24"/>
        <v/>
      </c>
      <c r="DT19" s="13" t="str">
        <f t="shared" si="24"/>
        <v/>
      </c>
      <c r="DU19" s="13" t="str">
        <f t="shared" si="24"/>
        <v/>
      </c>
      <c r="DV19" s="13" t="str">
        <f t="shared" si="24"/>
        <v/>
      </c>
      <c r="DW19" s="13" t="str">
        <f t="shared" si="25"/>
        <v/>
      </c>
      <c r="DX19" s="13" t="str">
        <f t="shared" si="25"/>
        <v/>
      </c>
      <c r="DY19" s="13" t="str">
        <f t="shared" si="25"/>
        <v/>
      </c>
      <c r="DZ19" s="13" t="str">
        <f t="shared" si="25"/>
        <v/>
      </c>
      <c r="EA19" s="13" t="str">
        <f t="shared" si="25"/>
        <v/>
      </c>
      <c r="EB19" s="13" t="str">
        <f t="shared" si="25"/>
        <v/>
      </c>
      <c r="EC19" s="13" t="str">
        <f t="shared" si="25"/>
        <v/>
      </c>
      <c r="ED19" s="13" t="str">
        <f t="shared" si="25"/>
        <v/>
      </c>
      <c r="EE19" s="13" t="str">
        <f t="shared" si="25"/>
        <v/>
      </c>
      <c r="EF19" s="13" t="str">
        <f t="shared" si="25"/>
        <v/>
      </c>
      <c r="EG19" s="13" t="str">
        <f t="shared" si="25"/>
        <v/>
      </c>
      <c r="EH19" s="13" t="str">
        <f t="shared" si="25"/>
        <v/>
      </c>
    </row>
    <row r="20" spans="1:138" ht="15.75" customHeight="1">
      <c r="A20" s="54" t="s">
        <v>98</v>
      </c>
      <c r="B20" s="54"/>
      <c r="C20" s="54"/>
      <c r="D20" s="54"/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  <c r="AI20" s="54"/>
      <c r="AJ20" s="54"/>
      <c r="AK20" s="54"/>
      <c r="AL20" s="54"/>
      <c r="AM20" s="54"/>
      <c r="AN20" s="54"/>
      <c r="AO20" s="54"/>
      <c r="AP20" s="54"/>
      <c r="AQ20" s="54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/>
      <c r="BD20" s="54"/>
      <c r="BE20" s="54"/>
      <c r="BF20" s="54"/>
      <c r="BG20" s="54"/>
      <c r="BH20" s="54"/>
      <c r="BI20" s="54"/>
      <c r="BJ20" s="54"/>
      <c r="BK20" s="54"/>
      <c r="BL20" s="54"/>
      <c r="BM20" s="54"/>
      <c r="BN20" s="54"/>
      <c r="BO20" s="54"/>
      <c r="BP20" s="54"/>
      <c r="BQ20" s="54"/>
      <c r="BR20" s="54"/>
      <c r="BS20" s="54"/>
      <c r="BT20" s="54"/>
      <c r="BU20" s="54"/>
      <c r="BV20" s="54"/>
      <c r="BW20" s="54"/>
      <c r="BX20" s="54"/>
      <c r="BY20" s="54"/>
      <c r="BZ20" s="54"/>
      <c r="CA20" s="54"/>
      <c r="CB20" s="54"/>
      <c r="CC20" s="54"/>
      <c r="CD20" s="54"/>
      <c r="CE20" s="54"/>
      <c r="CF20" s="54"/>
      <c r="CG20" s="54"/>
      <c r="CH20" s="54"/>
      <c r="CI20" s="54"/>
      <c r="CJ20" s="54"/>
      <c r="CK20" s="54"/>
      <c r="CL20" s="54"/>
      <c r="CM20" s="54"/>
      <c r="CN20" s="54"/>
      <c r="CO20" s="54"/>
      <c r="CP20" s="54"/>
      <c r="CQ20" s="54"/>
      <c r="CR20" s="54"/>
      <c r="CS20" s="54"/>
      <c r="CT20" s="54"/>
      <c r="CU20" s="54"/>
      <c r="CV20" s="54"/>
      <c r="CW20" s="54"/>
      <c r="CX20" s="54"/>
      <c r="CY20" s="54"/>
      <c r="CZ20" s="54"/>
      <c r="DA20" s="54"/>
      <c r="DB20" s="54"/>
      <c r="DC20" s="54"/>
      <c r="DD20" s="54"/>
      <c r="DE20" s="54"/>
      <c r="DF20" s="54"/>
      <c r="DG20" s="54"/>
      <c r="DH20" s="54"/>
      <c r="DI20" s="54"/>
      <c r="DJ20" s="54"/>
      <c r="DK20" s="54"/>
      <c r="DL20" s="54"/>
      <c r="DM20" s="54"/>
      <c r="DN20" s="54"/>
      <c r="DO20" s="54"/>
      <c r="DP20" s="54"/>
      <c r="DQ20" s="54"/>
      <c r="DR20" s="54"/>
      <c r="DS20" s="54"/>
      <c r="DT20" s="54"/>
      <c r="DU20" s="54"/>
      <c r="DV20" s="54"/>
      <c r="DW20" s="54"/>
      <c r="DX20" s="54"/>
      <c r="DY20" s="54"/>
      <c r="DZ20" s="54"/>
      <c r="EA20" s="54"/>
      <c r="EB20" s="54"/>
      <c r="EC20" s="54"/>
      <c r="ED20" s="54"/>
      <c r="EE20" s="54"/>
      <c r="EF20" s="54"/>
      <c r="EG20" s="54"/>
      <c r="EH20" s="54"/>
    </row>
    <row r="21" spans="1:138" ht="13.5" customHeight="1">
      <c r="A21" s="55" t="s">
        <v>99</v>
      </c>
      <c r="B21" s="56" t="s">
        <v>100</v>
      </c>
      <c r="C21" s="57" t="s">
        <v>101</v>
      </c>
      <c r="D21" s="9" t="s">
        <v>79</v>
      </c>
      <c r="E21" s="10">
        <v>46256</v>
      </c>
      <c r="F21" s="10">
        <v>46260</v>
      </c>
      <c r="G21" s="11" t="str">
        <f t="shared" ref="G21:P34" si="26">IF(AND($E21&lt;&gt;"",$F21&lt;&gt;"",$E21&lt;=G$3,$F21&gt;=G$3),"▪","")</f>
        <v/>
      </c>
      <c r="H21" s="11" t="str">
        <f t="shared" si="26"/>
        <v/>
      </c>
      <c r="I21" s="11" t="str">
        <f t="shared" si="26"/>
        <v/>
      </c>
      <c r="J21" s="11" t="str">
        <f t="shared" si="26"/>
        <v/>
      </c>
      <c r="K21" s="11" t="str">
        <f t="shared" si="26"/>
        <v/>
      </c>
      <c r="L21" s="11" t="str">
        <f t="shared" si="26"/>
        <v/>
      </c>
      <c r="M21" s="11" t="str">
        <f t="shared" si="26"/>
        <v/>
      </c>
      <c r="N21" s="11" t="str">
        <f t="shared" si="26"/>
        <v/>
      </c>
      <c r="O21" s="11" t="str">
        <f t="shared" si="26"/>
        <v/>
      </c>
      <c r="P21" s="11" t="str">
        <f t="shared" si="26"/>
        <v/>
      </c>
      <c r="Q21" s="11" t="str">
        <f t="shared" ref="Q21:Z34" si="27">IF(AND($E21&lt;&gt;"",$F21&lt;&gt;"",$E21&lt;=Q$3,$F21&gt;=Q$3),"▪","")</f>
        <v/>
      </c>
      <c r="R21" s="11" t="str">
        <f t="shared" si="27"/>
        <v/>
      </c>
      <c r="S21" s="11" t="str">
        <f t="shared" si="27"/>
        <v/>
      </c>
      <c r="T21" s="11" t="str">
        <f t="shared" si="27"/>
        <v/>
      </c>
      <c r="U21" s="11" t="str">
        <f t="shared" si="27"/>
        <v/>
      </c>
      <c r="V21" s="11" t="str">
        <f t="shared" si="27"/>
        <v/>
      </c>
      <c r="W21" s="11" t="str">
        <f t="shared" si="27"/>
        <v/>
      </c>
      <c r="X21" s="11" t="str">
        <f t="shared" si="27"/>
        <v/>
      </c>
      <c r="Y21" s="11" t="str">
        <f t="shared" si="27"/>
        <v/>
      </c>
      <c r="Z21" s="11" t="str">
        <f t="shared" si="27"/>
        <v/>
      </c>
      <c r="AA21" s="11" t="str">
        <f t="shared" ref="AA21:AJ34" si="28">IF(AND($E21&lt;&gt;"",$F21&lt;&gt;"",$E21&lt;=AA$3,$F21&gt;=AA$3),"▪","")</f>
        <v/>
      </c>
      <c r="AB21" s="11" t="str">
        <f t="shared" si="28"/>
        <v>▪</v>
      </c>
      <c r="AC21" s="11" t="str">
        <f t="shared" si="28"/>
        <v>▪</v>
      </c>
      <c r="AD21" s="11" t="str">
        <f t="shared" si="28"/>
        <v>▪</v>
      </c>
      <c r="AE21" s="11" t="str">
        <f t="shared" si="28"/>
        <v>▪</v>
      </c>
      <c r="AF21" s="11" t="str">
        <f t="shared" si="28"/>
        <v>▪</v>
      </c>
      <c r="AG21" s="11" t="str">
        <f t="shared" si="28"/>
        <v/>
      </c>
      <c r="AH21" s="11" t="str">
        <f t="shared" si="28"/>
        <v/>
      </c>
      <c r="AI21" s="11" t="str">
        <f t="shared" si="28"/>
        <v/>
      </c>
      <c r="AJ21" s="11" t="str">
        <f t="shared" si="28"/>
        <v/>
      </c>
      <c r="AK21" s="11" t="str">
        <f t="shared" ref="AK21:AT34" si="29">IF(AND($E21&lt;&gt;"",$F21&lt;&gt;"",$E21&lt;=AK$3,$F21&gt;=AK$3),"▪","")</f>
        <v/>
      </c>
      <c r="AL21" s="11" t="str">
        <f t="shared" si="29"/>
        <v/>
      </c>
      <c r="AM21" s="11" t="str">
        <f t="shared" si="29"/>
        <v/>
      </c>
      <c r="AN21" s="11" t="str">
        <f t="shared" si="29"/>
        <v/>
      </c>
      <c r="AO21" s="11" t="str">
        <f t="shared" si="29"/>
        <v/>
      </c>
      <c r="AP21" s="11" t="str">
        <f t="shared" si="29"/>
        <v/>
      </c>
      <c r="AQ21" s="11" t="str">
        <f t="shared" si="29"/>
        <v/>
      </c>
      <c r="AR21" s="11" t="str">
        <f t="shared" si="29"/>
        <v/>
      </c>
      <c r="AS21" s="11" t="str">
        <f t="shared" si="29"/>
        <v/>
      </c>
      <c r="AT21" s="11" t="str">
        <f t="shared" si="29"/>
        <v/>
      </c>
      <c r="AU21" s="11" t="str">
        <f t="shared" ref="AU21:BD34" si="30">IF(AND($E21&lt;&gt;"",$F21&lt;&gt;"",$E21&lt;=AU$3,$F21&gt;=AU$3),"▪","")</f>
        <v/>
      </c>
      <c r="AV21" s="11" t="str">
        <f t="shared" si="30"/>
        <v/>
      </c>
      <c r="AW21" s="11" t="str">
        <f t="shared" si="30"/>
        <v/>
      </c>
      <c r="AX21" s="11" t="str">
        <f t="shared" si="30"/>
        <v/>
      </c>
      <c r="AY21" s="11" t="str">
        <f t="shared" si="30"/>
        <v/>
      </c>
      <c r="AZ21" s="11" t="str">
        <f t="shared" si="30"/>
        <v/>
      </c>
      <c r="BA21" s="11" t="str">
        <f t="shared" si="30"/>
        <v/>
      </c>
      <c r="BB21" s="11" t="str">
        <f t="shared" si="30"/>
        <v/>
      </c>
      <c r="BC21" s="11" t="str">
        <f t="shared" si="30"/>
        <v/>
      </c>
      <c r="BD21" s="11" t="str">
        <f t="shared" si="30"/>
        <v/>
      </c>
      <c r="BE21" s="11" t="str">
        <f t="shared" ref="BE21:BN34" si="31">IF(AND($E21&lt;&gt;"",$F21&lt;&gt;"",$E21&lt;=BE$3,$F21&gt;=BE$3),"▪","")</f>
        <v/>
      </c>
      <c r="BF21" s="11" t="str">
        <f t="shared" si="31"/>
        <v/>
      </c>
      <c r="BG21" s="11" t="str">
        <f t="shared" si="31"/>
        <v/>
      </c>
      <c r="BH21" s="11" t="str">
        <f t="shared" si="31"/>
        <v/>
      </c>
      <c r="BI21" s="11" t="str">
        <f t="shared" si="31"/>
        <v/>
      </c>
      <c r="BJ21" s="11" t="str">
        <f t="shared" si="31"/>
        <v/>
      </c>
      <c r="BK21" s="11" t="str">
        <f t="shared" si="31"/>
        <v/>
      </c>
      <c r="BL21" s="11" t="str">
        <f t="shared" si="31"/>
        <v/>
      </c>
      <c r="BM21" s="11" t="str">
        <f t="shared" si="31"/>
        <v/>
      </c>
      <c r="BN21" s="11" t="str">
        <f t="shared" si="31"/>
        <v/>
      </c>
      <c r="BO21" s="11" t="str">
        <f t="shared" ref="BO21:BX34" si="32">IF(AND($E21&lt;&gt;"",$F21&lt;&gt;"",$E21&lt;=BO$3,$F21&gt;=BO$3),"▪","")</f>
        <v/>
      </c>
      <c r="BP21" s="11" t="str">
        <f t="shared" si="32"/>
        <v/>
      </c>
      <c r="BQ21" s="11" t="str">
        <f t="shared" si="32"/>
        <v/>
      </c>
      <c r="BR21" s="11" t="str">
        <f t="shared" si="32"/>
        <v/>
      </c>
      <c r="BS21" s="11" t="str">
        <f t="shared" si="32"/>
        <v/>
      </c>
      <c r="BT21" s="11" t="str">
        <f t="shared" si="32"/>
        <v/>
      </c>
      <c r="BU21" s="11" t="str">
        <f t="shared" si="32"/>
        <v/>
      </c>
      <c r="BV21" s="11" t="str">
        <f t="shared" si="32"/>
        <v/>
      </c>
      <c r="BW21" s="11" t="str">
        <f t="shared" si="32"/>
        <v/>
      </c>
      <c r="BX21" s="11" t="str">
        <f t="shared" si="32"/>
        <v/>
      </c>
      <c r="BY21" s="11" t="str">
        <f t="shared" ref="BY21:CH34" si="33">IF(AND($E21&lt;&gt;"",$F21&lt;&gt;"",$E21&lt;=BY$3,$F21&gt;=BY$3),"▪","")</f>
        <v/>
      </c>
      <c r="BZ21" s="11" t="str">
        <f t="shared" si="33"/>
        <v/>
      </c>
      <c r="CA21" s="11" t="str">
        <f t="shared" si="33"/>
        <v/>
      </c>
      <c r="CB21" s="11" t="str">
        <f t="shared" si="33"/>
        <v/>
      </c>
      <c r="CC21" s="11" t="str">
        <f t="shared" si="33"/>
        <v/>
      </c>
      <c r="CD21" s="11" t="str">
        <f t="shared" si="33"/>
        <v/>
      </c>
      <c r="CE21" s="11" t="str">
        <f t="shared" si="33"/>
        <v/>
      </c>
      <c r="CF21" s="11" t="str">
        <f t="shared" si="33"/>
        <v/>
      </c>
      <c r="CG21" s="11" t="str">
        <f t="shared" si="33"/>
        <v/>
      </c>
      <c r="CH21" s="11" t="str">
        <f t="shared" si="33"/>
        <v/>
      </c>
      <c r="CI21" s="11" t="str">
        <f t="shared" ref="CI21:CR34" si="34">IF(AND($E21&lt;&gt;"",$F21&lt;&gt;"",$E21&lt;=CI$3,$F21&gt;=CI$3),"▪","")</f>
        <v/>
      </c>
      <c r="CJ21" s="11" t="str">
        <f t="shared" si="34"/>
        <v/>
      </c>
      <c r="CK21" s="11" t="str">
        <f t="shared" si="34"/>
        <v/>
      </c>
      <c r="CL21" s="11" t="str">
        <f t="shared" si="34"/>
        <v/>
      </c>
      <c r="CM21" s="11" t="str">
        <f t="shared" si="34"/>
        <v/>
      </c>
      <c r="CN21" s="11" t="str">
        <f t="shared" si="34"/>
        <v/>
      </c>
      <c r="CO21" s="11" t="str">
        <f t="shared" si="34"/>
        <v/>
      </c>
      <c r="CP21" s="11" t="str">
        <f t="shared" si="34"/>
        <v/>
      </c>
      <c r="CQ21" s="11" t="str">
        <f t="shared" si="34"/>
        <v/>
      </c>
      <c r="CR21" s="11" t="str">
        <f t="shared" si="34"/>
        <v/>
      </c>
      <c r="CS21" s="11" t="str">
        <f t="shared" ref="CS21:DB34" si="35">IF(AND($E21&lt;&gt;"",$F21&lt;&gt;"",$E21&lt;=CS$3,$F21&gt;=CS$3),"▪","")</f>
        <v/>
      </c>
      <c r="CT21" s="11" t="str">
        <f t="shared" si="35"/>
        <v/>
      </c>
      <c r="CU21" s="11" t="str">
        <f t="shared" si="35"/>
        <v/>
      </c>
      <c r="CV21" s="11" t="str">
        <f t="shared" si="35"/>
        <v/>
      </c>
      <c r="CW21" s="11" t="str">
        <f t="shared" si="35"/>
        <v/>
      </c>
      <c r="CX21" s="11" t="str">
        <f t="shared" si="35"/>
        <v/>
      </c>
      <c r="CY21" s="11" t="str">
        <f t="shared" si="35"/>
        <v/>
      </c>
      <c r="CZ21" s="11" t="str">
        <f t="shared" si="35"/>
        <v/>
      </c>
      <c r="DA21" s="11" t="str">
        <f t="shared" si="35"/>
        <v/>
      </c>
      <c r="DB21" s="11" t="str">
        <f t="shared" si="35"/>
        <v/>
      </c>
      <c r="DC21" s="11" t="str">
        <f t="shared" ref="DC21:DL34" si="36">IF(AND($E21&lt;&gt;"",$F21&lt;&gt;"",$E21&lt;=DC$3,$F21&gt;=DC$3),"▪","")</f>
        <v/>
      </c>
      <c r="DD21" s="11" t="str">
        <f t="shared" si="36"/>
        <v/>
      </c>
      <c r="DE21" s="11" t="str">
        <f t="shared" si="36"/>
        <v/>
      </c>
      <c r="DF21" s="11" t="str">
        <f t="shared" si="36"/>
        <v/>
      </c>
      <c r="DG21" s="11" t="str">
        <f t="shared" si="36"/>
        <v/>
      </c>
      <c r="DH21" s="11" t="str">
        <f t="shared" si="36"/>
        <v/>
      </c>
      <c r="DI21" s="11" t="str">
        <f t="shared" si="36"/>
        <v/>
      </c>
      <c r="DJ21" s="11" t="str">
        <f t="shared" si="36"/>
        <v/>
      </c>
      <c r="DK21" s="11" t="str">
        <f t="shared" si="36"/>
        <v/>
      </c>
      <c r="DL21" s="11" t="str">
        <f t="shared" si="36"/>
        <v/>
      </c>
      <c r="DM21" s="11" t="str">
        <f t="shared" ref="DM21:DV34" si="37">IF(AND($E21&lt;&gt;"",$F21&lt;&gt;"",$E21&lt;=DM$3,$F21&gt;=DM$3),"▪","")</f>
        <v/>
      </c>
      <c r="DN21" s="11" t="str">
        <f t="shared" si="37"/>
        <v/>
      </c>
      <c r="DO21" s="11" t="str">
        <f t="shared" si="37"/>
        <v/>
      </c>
      <c r="DP21" s="11" t="str">
        <f t="shared" si="37"/>
        <v/>
      </c>
      <c r="DQ21" s="11" t="str">
        <f t="shared" si="37"/>
        <v/>
      </c>
      <c r="DR21" s="11" t="str">
        <f t="shared" si="37"/>
        <v/>
      </c>
      <c r="DS21" s="11" t="str">
        <f t="shared" si="37"/>
        <v/>
      </c>
      <c r="DT21" s="11" t="str">
        <f t="shared" si="37"/>
        <v/>
      </c>
      <c r="DU21" s="11" t="str">
        <f t="shared" si="37"/>
        <v/>
      </c>
      <c r="DV21" s="11" t="str">
        <f t="shared" si="37"/>
        <v/>
      </c>
      <c r="DW21" s="11" t="str">
        <f t="shared" ref="DW21:EH34" si="38">IF(AND($E21&lt;&gt;"",$F21&lt;&gt;"",$E21&lt;=DW$3,$F21&gt;=DW$3),"▪","")</f>
        <v/>
      </c>
      <c r="DX21" s="11" t="str">
        <f t="shared" si="38"/>
        <v/>
      </c>
      <c r="DY21" s="11" t="str">
        <f t="shared" si="38"/>
        <v/>
      </c>
      <c r="DZ21" s="11" t="str">
        <f t="shared" si="38"/>
        <v/>
      </c>
      <c r="EA21" s="11" t="str">
        <f t="shared" si="38"/>
        <v/>
      </c>
      <c r="EB21" s="11" t="str">
        <f t="shared" si="38"/>
        <v/>
      </c>
      <c r="EC21" s="11" t="str">
        <f t="shared" si="38"/>
        <v/>
      </c>
      <c r="ED21" s="11" t="str">
        <f t="shared" si="38"/>
        <v/>
      </c>
      <c r="EE21" s="11" t="str">
        <f t="shared" si="38"/>
        <v/>
      </c>
      <c r="EF21" s="11" t="str">
        <f t="shared" si="38"/>
        <v/>
      </c>
      <c r="EG21" s="11" t="str">
        <f t="shared" si="38"/>
        <v/>
      </c>
      <c r="EH21" s="11" t="str">
        <f t="shared" si="38"/>
        <v/>
      </c>
    </row>
    <row r="22" spans="1:138" ht="13.5" customHeight="1">
      <c r="A22" s="55"/>
      <c r="B22" s="55"/>
      <c r="C22" s="57"/>
      <c r="D22" s="12" t="s">
        <v>80</v>
      </c>
      <c r="E22" s="10">
        <v>46256</v>
      </c>
      <c r="F22" s="10">
        <v>46277</v>
      </c>
      <c r="G22" s="13" t="str">
        <f t="shared" si="26"/>
        <v/>
      </c>
      <c r="H22" s="13" t="str">
        <f t="shared" si="26"/>
        <v/>
      </c>
      <c r="I22" s="13" t="str">
        <f t="shared" si="26"/>
        <v/>
      </c>
      <c r="J22" s="13" t="str">
        <f t="shared" si="26"/>
        <v/>
      </c>
      <c r="K22" s="13" t="str">
        <f t="shared" si="26"/>
        <v/>
      </c>
      <c r="L22" s="13" t="str">
        <f t="shared" si="26"/>
        <v/>
      </c>
      <c r="M22" s="13" t="str">
        <f t="shared" si="26"/>
        <v/>
      </c>
      <c r="N22" s="13" t="str">
        <f t="shared" si="26"/>
        <v/>
      </c>
      <c r="O22" s="13" t="str">
        <f t="shared" si="26"/>
        <v/>
      </c>
      <c r="P22" s="13" t="str">
        <f t="shared" si="26"/>
        <v/>
      </c>
      <c r="Q22" s="13" t="str">
        <f t="shared" si="27"/>
        <v/>
      </c>
      <c r="R22" s="13" t="str">
        <f t="shared" si="27"/>
        <v/>
      </c>
      <c r="S22" s="13" t="str">
        <f t="shared" si="27"/>
        <v/>
      </c>
      <c r="T22" s="13" t="str">
        <f t="shared" si="27"/>
        <v/>
      </c>
      <c r="U22" s="13" t="str">
        <f t="shared" si="27"/>
        <v/>
      </c>
      <c r="V22" s="13" t="str">
        <f t="shared" si="27"/>
        <v/>
      </c>
      <c r="W22" s="13" t="str">
        <f t="shared" si="27"/>
        <v/>
      </c>
      <c r="X22" s="13" t="str">
        <f t="shared" si="27"/>
        <v/>
      </c>
      <c r="Y22" s="13" t="str">
        <f t="shared" si="27"/>
        <v/>
      </c>
      <c r="Z22" s="13" t="str">
        <f t="shared" si="27"/>
        <v/>
      </c>
      <c r="AA22" s="13" t="str">
        <f t="shared" si="28"/>
        <v/>
      </c>
      <c r="AB22" s="13" t="str">
        <f t="shared" si="28"/>
        <v>▪</v>
      </c>
      <c r="AC22" s="13" t="str">
        <f t="shared" si="28"/>
        <v>▪</v>
      </c>
      <c r="AD22" s="13" t="str">
        <f t="shared" si="28"/>
        <v>▪</v>
      </c>
      <c r="AE22" s="13" t="str">
        <f t="shared" si="28"/>
        <v>▪</v>
      </c>
      <c r="AF22" s="13" t="str">
        <f t="shared" si="28"/>
        <v>▪</v>
      </c>
      <c r="AG22" s="13" t="str">
        <f t="shared" si="28"/>
        <v>▪</v>
      </c>
      <c r="AH22" s="13" t="str">
        <f t="shared" si="28"/>
        <v>▪</v>
      </c>
      <c r="AI22" s="13" t="str">
        <f t="shared" si="28"/>
        <v>▪</v>
      </c>
      <c r="AJ22" s="13" t="str">
        <f t="shared" si="28"/>
        <v>▪</v>
      </c>
      <c r="AK22" s="13" t="str">
        <f t="shared" si="29"/>
        <v>▪</v>
      </c>
      <c r="AL22" s="13" t="str">
        <f t="shared" si="29"/>
        <v>▪</v>
      </c>
      <c r="AM22" s="13" t="str">
        <f t="shared" si="29"/>
        <v>▪</v>
      </c>
      <c r="AN22" s="13" t="str">
        <f t="shared" si="29"/>
        <v>▪</v>
      </c>
      <c r="AO22" s="13" t="str">
        <f t="shared" si="29"/>
        <v>▪</v>
      </c>
      <c r="AP22" s="13" t="str">
        <f t="shared" si="29"/>
        <v>▪</v>
      </c>
      <c r="AQ22" s="13" t="str">
        <f t="shared" si="29"/>
        <v>▪</v>
      </c>
      <c r="AR22" s="13" t="str">
        <f t="shared" si="29"/>
        <v>▪</v>
      </c>
      <c r="AS22" s="13" t="str">
        <f t="shared" si="29"/>
        <v>▪</v>
      </c>
      <c r="AT22" s="13" t="str">
        <f t="shared" si="29"/>
        <v>▪</v>
      </c>
      <c r="AU22" s="13" t="str">
        <f t="shared" si="30"/>
        <v>▪</v>
      </c>
      <c r="AV22" s="13" t="str">
        <f t="shared" si="30"/>
        <v>▪</v>
      </c>
      <c r="AW22" s="13" t="str">
        <f t="shared" si="30"/>
        <v>▪</v>
      </c>
      <c r="AX22" s="13" t="str">
        <f t="shared" si="30"/>
        <v/>
      </c>
      <c r="AY22" s="13" t="str">
        <f t="shared" si="30"/>
        <v/>
      </c>
      <c r="AZ22" s="13" t="str">
        <f t="shared" si="30"/>
        <v/>
      </c>
      <c r="BA22" s="13" t="str">
        <f t="shared" si="30"/>
        <v/>
      </c>
      <c r="BB22" s="13" t="str">
        <f t="shared" si="30"/>
        <v/>
      </c>
      <c r="BC22" s="13" t="str">
        <f t="shared" si="30"/>
        <v/>
      </c>
      <c r="BD22" s="13" t="str">
        <f t="shared" si="30"/>
        <v/>
      </c>
      <c r="BE22" s="13" t="str">
        <f t="shared" si="31"/>
        <v/>
      </c>
      <c r="BF22" s="13" t="str">
        <f t="shared" si="31"/>
        <v/>
      </c>
      <c r="BG22" s="13" t="str">
        <f t="shared" si="31"/>
        <v/>
      </c>
      <c r="BH22" s="13" t="str">
        <f t="shared" si="31"/>
        <v/>
      </c>
      <c r="BI22" s="13" t="str">
        <f t="shared" si="31"/>
        <v/>
      </c>
      <c r="BJ22" s="13" t="str">
        <f t="shared" si="31"/>
        <v/>
      </c>
      <c r="BK22" s="13" t="str">
        <f t="shared" si="31"/>
        <v/>
      </c>
      <c r="BL22" s="13" t="str">
        <f t="shared" si="31"/>
        <v/>
      </c>
      <c r="BM22" s="13" t="str">
        <f t="shared" si="31"/>
        <v/>
      </c>
      <c r="BN22" s="13" t="str">
        <f t="shared" si="31"/>
        <v/>
      </c>
      <c r="BO22" s="13" t="str">
        <f t="shared" si="32"/>
        <v/>
      </c>
      <c r="BP22" s="13" t="str">
        <f t="shared" si="32"/>
        <v/>
      </c>
      <c r="BQ22" s="13" t="str">
        <f t="shared" si="32"/>
        <v/>
      </c>
      <c r="BR22" s="13" t="str">
        <f t="shared" si="32"/>
        <v/>
      </c>
      <c r="BS22" s="13" t="str">
        <f t="shared" si="32"/>
        <v/>
      </c>
      <c r="BT22" s="13" t="str">
        <f t="shared" si="32"/>
        <v/>
      </c>
      <c r="BU22" s="13" t="str">
        <f t="shared" si="32"/>
        <v/>
      </c>
      <c r="BV22" s="13" t="str">
        <f t="shared" si="32"/>
        <v/>
      </c>
      <c r="BW22" s="13" t="str">
        <f t="shared" si="32"/>
        <v/>
      </c>
      <c r="BX22" s="13" t="str">
        <f t="shared" si="32"/>
        <v/>
      </c>
      <c r="BY22" s="13" t="str">
        <f t="shared" si="33"/>
        <v/>
      </c>
      <c r="BZ22" s="13" t="str">
        <f t="shared" si="33"/>
        <v/>
      </c>
      <c r="CA22" s="13" t="str">
        <f t="shared" si="33"/>
        <v/>
      </c>
      <c r="CB22" s="13" t="str">
        <f t="shared" si="33"/>
        <v/>
      </c>
      <c r="CC22" s="13" t="str">
        <f t="shared" si="33"/>
        <v/>
      </c>
      <c r="CD22" s="13" t="str">
        <f t="shared" si="33"/>
        <v/>
      </c>
      <c r="CE22" s="13" t="str">
        <f t="shared" si="33"/>
        <v/>
      </c>
      <c r="CF22" s="13" t="str">
        <f t="shared" si="33"/>
        <v/>
      </c>
      <c r="CG22" s="13" t="str">
        <f t="shared" si="33"/>
        <v/>
      </c>
      <c r="CH22" s="13" t="str">
        <f t="shared" si="33"/>
        <v/>
      </c>
      <c r="CI22" s="13" t="str">
        <f t="shared" si="34"/>
        <v/>
      </c>
      <c r="CJ22" s="13" t="str">
        <f t="shared" si="34"/>
        <v/>
      </c>
      <c r="CK22" s="13" t="str">
        <f t="shared" si="34"/>
        <v/>
      </c>
      <c r="CL22" s="13" t="str">
        <f t="shared" si="34"/>
        <v/>
      </c>
      <c r="CM22" s="13" t="str">
        <f t="shared" si="34"/>
        <v/>
      </c>
      <c r="CN22" s="13" t="str">
        <f t="shared" si="34"/>
        <v/>
      </c>
      <c r="CO22" s="13" t="str">
        <f t="shared" si="34"/>
        <v/>
      </c>
      <c r="CP22" s="13" t="str">
        <f t="shared" si="34"/>
        <v/>
      </c>
      <c r="CQ22" s="13" t="str">
        <f t="shared" si="34"/>
        <v/>
      </c>
      <c r="CR22" s="13" t="str">
        <f t="shared" si="34"/>
        <v/>
      </c>
      <c r="CS22" s="13" t="str">
        <f t="shared" si="35"/>
        <v/>
      </c>
      <c r="CT22" s="13" t="str">
        <f t="shared" si="35"/>
        <v/>
      </c>
      <c r="CU22" s="13" t="str">
        <f t="shared" si="35"/>
        <v/>
      </c>
      <c r="CV22" s="13" t="str">
        <f t="shared" si="35"/>
        <v/>
      </c>
      <c r="CW22" s="13" t="str">
        <f t="shared" si="35"/>
        <v/>
      </c>
      <c r="CX22" s="13" t="str">
        <f t="shared" si="35"/>
        <v/>
      </c>
      <c r="CY22" s="13" t="str">
        <f t="shared" si="35"/>
        <v/>
      </c>
      <c r="CZ22" s="13" t="str">
        <f t="shared" si="35"/>
        <v/>
      </c>
      <c r="DA22" s="13" t="str">
        <f t="shared" si="35"/>
        <v/>
      </c>
      <c r="DB22" s="13" t="str">
        <f t="shared" si="35"/>
        <v/>
      </c>
      <c r="DC22" s="13" t="str">
        <f t="shared" si="36"/>
        <v/>
      </c>
      <c r="DD22" s="13" t="str">
        <f t="shared" si="36"/>
        <v/>
      </c>
      <c r="DE22" s="13" t="str">
        <f t="shared" si="36"/>
        <v/>
      </c>
      <c r="DF22" s="13" t="str">
        <f t="shared" si="36"/>
        <v/>
      </c>
      <c r="DG22" s="13" t="str">
        <f t="shared" si="36"/>
        <v/>
      </c>
      <c r="DH22" s="13" t="str">
        <f t="shared" si="36"/>
        <v/>
      </c>
      <c r="DI22" s="13" t="str">
        <f t="shared" si="36"/>
        <v/>
      </c>
      <c r="DJ22" s="13" t="str">
        <f t="shared" si="36"/>
        <v/>
      </c>
      <c r="DK22" s="13" t="str">
        <f t="shared" si="36"/>
        <v/>
      </c>
      <c r="DL22" s="13" t="str">
        <f t="shared" si="36"/>
        <v/>
      </c>
      <c r="DM22" s="13" t="str">
        <f t="shared" si="37"/>
        <v/>
      </c>
      <c r="DN22" s="13" t="str">
        <f t="shared" si="37"/>
        <v/>
      </c>
      <c r="DO22" s="13" t="str">
        <f t="shared" si="37"/>
        <v/>
      </c>
      <c r="DP22" s="13" t="str">
        <f t="shared" si="37"/>
        <v/>
      </c>
      <c r="DQ22" s="13" t="str">
        <f t="shared" si="37"/>
        <v/>
      </c>
      <c r="DR22" s="13" t="str">
        <f t="shared" si="37"/>
        <v/>
      </c>
      <c r="DS22" s="13" t="str">
        <f t="shared" si="37"/>
        <v/>
      </c>
      <c r="DT22" s="13" t="str">
        <f t="shared" si="37"/>
        <v/>
      </c>
      <c r="DU22" s="13" t="str">
        <f t="shared" si="37"/>
        <v/>
      </c>
      <c r="DV22" s="13" t="str">
        <f t="shared" si="37"/>
        <v/>
      </c>
      <c r="DW22" s="13" t="str">
        <f t="shared" si="38"/>
        <v/>
      </c>
      <c r="DX22" s="13" t="str">
        <f t="shared" si="38"/>
        <v/>
      </c>
      <c r="DY22" s="13" t="str">
        <f t="shared" si="38"/>
        <v/>
      </c>
      <c r="DZ22" s="13" t="str">
        <f t="shared" si="38"/>
        <v/>
      </c>
      <c r="EA22" s="13" t="str">
        <f t="shared" si="38"/>
        <v/>
      </c>
      <c r="EB22" s="13" t="str">
        <f t="shared" si="38"/>
        <v/>
      </c>
      <c r="EC22" s="13" t="str">
        <f t="shared" si="38"/>
        <v/>
      </c>
      <c r="ED22" s="13" t="str">
        <f t="shared" si="38"/>
        <v/>
      </c>
      <c r="EE22" s="13" t="str">
        <f t="shared" si="38"/>
        <v/>
      </c>
      <c r="EF22" s="13" t="str">
        <f t="shared" si="38"/>
        <v/>
      </c>
      <c r="EG22" s="13" t="str">
        <f t="shared" si="38"/>
        <v/>
      </c>
      <c r="EH22" s="13" t="str">
        <f t="shared" si="38"/>
        <v/>
      </c>
    </row>
    <row r="23" spans="1:138" ht="13.5" customHeight="1">
      <c r="A23" s="55" t="s">
        <v>102</v>
      </c>
      <c r="B23" s="56" t="s">
        <v>103</v>
      </c>
      <c r="C23" s="57" t="s">
        <v>101</v>
      </c>
      <c r="D23" s="9" t="s">
        <v>79</v>
      </c>
      <c r="E23" s="10">
        <v>46261</v>
      </c>
      <c r="F23" s="10">
        <v>46262</v>
      </c>
      <c r="G23" s="11" t="str">
        <f t="shared" si="26"/>
        <v/>
      </c>
      <c r="H23" s="11" t="str">
        <f t="shared" si="26"/>
        <v/>
      </c>
      <c r="I23" s="11" t="str">
        <f t="shared" si="26"/>
        <v/>
      </c>
      <c r="J23" s="11" t="str">
        <f t="shared" si="26"/>
        <v/>
      </c>
      <c r="K23" s="11" t="str">
        <f t="shared" si="26"/>
        <v/>
      </c>
      <c r="L23" s="11" t="str">
        <f t="shared" si="26"/>
        <v/>
      </c>
      <c r="M23" s="11" t="str">
        <f t="shared" si="26"/>
        <v/>
      </c>
      <c r="N23" s="11" t="str">
        <f t="shared" si="26"/>
        <v/>
      </c>
      <c r="O23" s="11" t="str">
        <f t="shared" si="26"/>
        <v/>
      </c>
      <c r="P23" s="11" t="str">
        <f t="shared" si="26"/>
        <v/>
      </c>
      <c r="Q23" s="11" t="str">
        <f t="shared" si="27"/>
        <v/>
      </c>
      <c r="R23" s="11" t="str">
        <f t="shared" si="27"/>
        <v/>
      </c>
      <c r="S23" s="11" t="str">
        <f t="shared" si="27"/>
        <v/>
      </c>
      <c r="T23" s="11" t="str">
        <f t="shared" si="27"/>
        <v/>
      </c>
      <c r="U23" s="11" t="str">
        <f t="shared" si="27"/>
        <v/>
      </c>
      <c r="V23" s="11" t="str">
        <f t="shared" si="27"/>
        <v/>
      </c>
      <c r="W23" s="11" t="str">
        <f t="shared" si="27"/>
        <v/>
      </c>
      <c r="X23" s="11" t="str">
        <f t="shared" si="27"/>
        <v/>
      </c>
      <c r="Y23" s="11" t="str">
        <f t="shared" si="27"/>
        <v/>
      </c>
      <c r="Z23" s="11" t="str">
        <f t="shared" si="27"/>
        <v/>
      </c>
      <c r="AA23" s="11" t="str">
        <f t="shared" si="28"/>
        <v/>
      </c>
      <c r="AB23" s="11" t="str">
        <f t="shared" si="28"/>
        <v/>
      </c>
      <c r="AC23" s="11" t="str">
        <f t="shared" si="28"/>
        <v/>
      </c>
      <c r="AD23" s="11" t="str">
        <f t="shared" si="28"/>
        <v/>
      </c>
      <c r="AE23" s="11" t="str">
        <f t="shared" si="28"/>
        <v/>
      </c>
      <c r="AF23" s="11" t="str">
        <f t="shared" si="28"/>
        <v/>
      </c>
      <c r="AG23" s="11" t="str">
        <f t="shared" si="28"/>
        <v>▪</v>
      </c>
      <c r="AH23" s="11" t="str">
        <f t="shared" si="28"/>
        <v>▪</v>
      </c>
      <c r="AI23" s="11" t="str">
        <f t="shared" si="28"/>
        <v/>
      </c>
      <c r="AJ23" s="11" t="str">
        <f t="shared" si="28"/>
        <v/>
      </c>
      <c r="AK23" s="11" t="str">
        <f t="shared" si="29"/>
        <v/>
      </c>
      <c r="AL23" s="11" t="str">
        <f t="shared" si="29"/>
        <v/>
      </c>
      <c r="AM23" s="11" t="str">
        <f t="shared" si="29"/>
        <v/>
      </c>
      <c r="AN23" s="11" t="str">
        <f t="shared" si="29"/>
        <v/>
      </c>
      <c r="AO23" s="11" t="str">
        <f t="shared" si="29"/>
        <v/>
      </c>
      <c r="AP23" s="11" t="str">
        <f t="shared" si="29"/>
        <v/>
      </c>
      <c r="AQ23" s="11" t="str">
        <f t="shared" si="29"/>
        <v/>
      </c>
      <c r="AR23" s="11" t="str">
        <f t="shared" si="29"/>
        <v/>
      </c>
      <c r="AS23" s="11" t="str">
        <f t="shared" si="29"/>
        <v/>
      </c>
      <c r="AT23" s="11" t="str">
        <f t="shared" si="29"/>
        <v/>
      </c>
      <c r="AU23" s="11" t="str">
        <f t="shared" si="30"/>
        <v/>
      </c>
      <c r="AV23" s="11" t="str">
        <f t="shared" si="30"/>
        <v/>
      </c>
      <c r="AW23" s="11" t="str">
        <f t="shared" si="30"/>
        <v/>
      </c>
      <c r="AX23" s="11" t="str">
        <f t="shared" si="30"/>
        <v/>
      </c>
      <c r="AY23" s="11" t="str">
        <f t="shared" si="30"/>
        <v/>
      </c>
      <c r="AZ23" s="11" t="str">
        <f t="shared" si="30"/>
        <v/>
      </c>
      <c r="BA23" s="11" t="str">
        <f t="shared" si="30"/>
        <v/>
      </c>
      <c r="BB23" s="11" t="str">
        <f t="shared" si="30"/>
        <v/>
      </c>
      <c r="BC23" s="11" t="str">
        <f t="shared" si="30"/>
        <v/>
      </c>
      <c r="BD23" s="11" t="str">
        <f t="shared" si="30"/>
        <v/>
      </c>
      <c r="BE23" s="11" t="str">
        <f t="shared" si="31"/>
        <v/>
      </c>
      <c r="BF23" s="11" t="str">
        <f t="shared" si="31"/>
        <v/>
      </c>
      <c r="BG23" s="11" t="str">
        <f t="shared" si="31"/>
        <v/>
      </c>
      <c r="BH23" s="11" t="str">
        <f t="shared" si="31"/>
        <v/>
      </c>
      <c r="BI23" s="11" t="str">
        <f t="shared" si="31"/>
        <v/>
      </c>
      <c r="BJ23" s="11" t="str">
        <f t="shared" si="31"/>
        <v/>
      </c>
      <c r="BK23" s="11" t="str">
        <f t="shared" si="31"/>
        <v/>
      </c>
      <c r="BL23" s="11" t="str">
        <f t="shared" si="31"/>
        <v/>
      </c>
      <c r="BM23" s="11" t="str">
        <f t="shared" si="31"/>
        <v/>
      </c>
      <c r="BN23" s="11" t="str">
        <f t="shared" si="31"/>
        <v/>
      </c>
      <c r="BO23" s="11" t="str">
        <f t="shared" si="32"/>
        <v/>
      </c>
      <c r="BP23" s="11" t="str">
        <f t="shared" si="32"/>
        <v/>
      </c>
      <c r="BQ23" s="11" t="str">
        <f t="shared" si="32"/>
        <v/>
      </c>
      <c r="BR23" s="11" t="str">
        <f t="shared" si="32"/>
        <v/>
      </c>
      <c r="BS23" s="11" t="str">
        <f t="shared" si="32"/>
        <v/>
      </c>
      <c r="BT23" s="11" t="str">
        <f t="shared" si="32"/>
        <v/>
      </c>
      <c r="BU23" s="11" t="str">
        <f t="shared" si="32"/>
        <v/>
      </c>
      <c r="BV23" s="11" t="str">
        <f t="shared" si="32"/>
        <v/>
      </c>
      <c r="BW23" s="11" t="str">
        <f t="shared" si="32"/>
        <v/>
      </c>
      <c r="BX23" s="11" t="str">
        <f t="shared" si="32"/>
        <v/>
      </c>
      <c r="BY23" s="11" t="str">
        <f t="shared" si="33"/>
        <v/>
      </c>
      <c r="BZ23" s="11" t="str">
        <f t="shared" si="33"/>
        <v/>
      </c>
      <c r="CA23" s="11" t="str">
        <f t="shared" si="33"/>
        <v/>
      </c>
      <c r="CB23" s="11" t="str">
        <f t="shared" si="33"/>
        <v/>
      </c>
      <c r="CC23" s="11" t="str">
        <f t="shared" si="33"/>
        <v/>
      </c>
      <c r="CD23" s="11" t="str">
        <f t="shared" si="33"/>
        <v/>
      </c>
      <c r="CE23" s="11" t="str">
        <f t="shared" si="33"/>
        <v/>
      </c>
      <c r="CF23" s="11" t="str">
        <f t="shared" si="33"/>
        <v/>
      </c>
      <c r="CG23" s="11" t="str">
        <f t="shared" si="33"/>
        <v/>
      </c>
      <c r="CH23" s="11" t="str">
        <f t="shared" si="33"/>
        <v/>
      </c>
      <c r="CI23" s="11" t="str">
        <f t="shared" si="34"/>
        <v/>
      </c>
      <c r="CJ23" s="11" t="str">
        <f t="shared" si="34"/>
        <v/>
      </c>
      <c r="CK23" s="11" t="str">
        <f t="shared" si="34"/>
        <v/>
      </c>
      <c r="CL23" s="11" t="str">
        <f t="shared" si="34"/>
        <v/>
      </c>
      <c r="CM23" s="11" t="str">
        <f t="shared" si="34"/>
        <v/>
      </c>
      <c r="CN23" s="11" t="str">
        <f t="shared" si="34"/>
        <v/>
      </c>
      <c r="CO23" s="11" t="str">
        <f t="shared" si="34"/>
        <v/>
      </c>
      <c r="CP23" s="11" t="str">
        <f t="shared" si="34"/>
        <v/>
      </c>
      <c r="CQ23" s="11" t="str">
        <f t="shared" si="34"/>
        <v/>
      </c>
      <c r="CR23" s="11" t="str">
        <f t="shared" si="34"/>
        <v/>
      </c>
      <c r="CS23" s="11" t="str">
        <f t="shared" si="35"/>
        <v/>
      </c>
      <c r="CT23" s="11" t="str">
        <f t="shared" si="35"/>
        <v/>
      </c>
      <c r="CU23" s="11" t="str">
        <f t="shared" si="35"/>
        <v/>
      </c>
      <c r="CV23" s="11" t="str">
        <f t="shared" si="35"/>
        <v/>
      </c>
      <c r="CW23" s="11" t="str">
        <f t="shared" si="35"/>
        <v/>
      </c>
      <c r="CX23" s="11" t="str">
        <f t="shared" si="35"/>
        <v/>
      </c>
      <c r="CY23" s="11" t="str">
        <f t="shared" si="35"/>
        <v/>
      </c>
      <c r="CZ23" s="11" t="str">
        <f t="shared" si="35"/>
        <v/>
      </c>
      <c r="DA23" s="11" t="str">
        <f t="shared" si="35"/>
        <v/>
      </c>
      <c r="DB23" s="11" t="str">
        <f t="shared" si="35"/>
        <v/>
      </c>
      <c r="DC23" s="11" t="str">
        <f t="shared" si="36"/>
        <v/>
      </c>
      <c r="DD23" s="11" t="str">
        <f t="shared" si="36"/>
        <v/>
      </c>
      <c r="DE23" s="11" t="str">
        <f t="shared" si="36"/>
        <v/>
      </c>
      <c r="DF23" s="11" t="str">
        <f t="shared" si="36"/>
        <v/>
      </c>
      <c r="DG23" s="11" t="str">
        <f t="shared" si="36"/>
        <v/>
      </c>
      <c r="DH23" s="11" t="str">
        <f t="shared" si="36"/>
        <v/>
      </c>
      <c r="DI23" s="11" t="str">
        <f t="shared" si="36"/>
        <v/>
      </c>
      <c r="DJ23" s="11" t="str">
        <f t="shared" si="36"/>
        <v/>
      </c>
      <c r="DK23" s="11" t="str">
        <f t="shared" si="36"/>
        <v/>
      </c>
      <c r="DL23" s="11" t="str">
        <f t="shared" si="36"/>
        <v/>
      </c>
      <c r="DM23" s="11" t="str">
        <f t="shared" si="37"/>
        <v/>
      </c>
      <c r="DN23" s="11" t="str">
        <f t="shared" si="37"/>
        <v/>
      </c>
      <c r="DO23" s="11" t="str">
        <f t="shared" si="37"/>
        <v/>
      </c>
      <c r="DP23" s="11" t="str">
        <f t="shared" si="37"/>
        <v/>
      </c>
      <c r="DQ23" s="11" t="str">
        <f t="shared" si="37"/>
        <v/>
      </c>
      <c r="DR23" s="11" t="str">
        <f t="shared" si="37"/>
        <v/>
      </c>
      <c r="DS23" s="11" t="str">
        <f t="shared" si="37"/>
        <v/>
      </c>
      <c r="DT23" s="11" t="str">
        <f t="shared" si="37"/>
        <v/>
      </c>
      <c r="DU23" s="11" t="str">
        <f t="shared" si="37"/>
        <v/>
      </c>
      <c r="DV23" s="11" t="str">
        <f t="shared" si="37"/>
        <v/>
      </c>
      <c r="DW23" s="11" t="str">
        <f t="shared" si="38"/>
        <v/>
      </c>
      <c r="DX23" s="11" t="str">
        <f t="shared" si="38"/>
        <v/>
      </c>
      <c r="DY23" s="11" t="str">
        <f t="shared" si="38"/>
        <v/>
      </c>
      <c r="DZ23" s="11" t="str">
        <f t="shared" si="38"/>
        <v/>
      </c>
      <c r="EA23" s="11" t="str">
        <f t="shared" si="38"/>
        <v/>
      </c>
      <c r="EB23" s="11" t="str">
        <f t="shared" si="38"/>
        <v/>
      </c>
      <c r="EC23" s="11" t="str">
        <f t="shared" si="38"/>
        <v/>
      </c>
      <c r="ED23" s="11" t="str">
        <f t="shared" si="38"/>
        <v/>
      </c>
      <c r="EE23" s="11" t="str">
        <f t="shared" si="38"/>
        <v/>
      </c>
      <c r="EF23" s="11" t="str">
        <f t="shared" si="38"/>
        <v/>
      </c>
      <c r="EG23" s="11" t="str">
        <f t="shared" si="38"/>
        <v/>
      </c>
      <c r="EH23" s="11" t="str">
        <f t="shared" si="38"/>
        <v/>
      </c>
    </row>
    <row r="24" spans="1:138" ht="13.5" customHeight="1">
      <c r="A24" s="55"/>
      <c r="B24" s="55"/>
      <c r="C24" s="55"/>
      <c r="D24" s="12" t="s">
        <v>80</v>
      </c>
      <c r="E24" s="10">
        <v>46276</v>
      </c>
      <c r="F24" s="10">
        <v>46276</v>
      </c>
      <c r="G24" s="13" t="str">
        <f t="shared" si="26"/>
        <v/>
      </c>
      <c r="H24" s="13" t="str">
        <f t="shared" si="26"/>
        <v/>
      </c>
      <c r="I24" s="13" t="str">
        <f t="shared" si="26"/>
        <v/>
      </c>
      <c r="J24" s="13" t="str">
        <f t="shared" si="26"/>
        <v/>
      </c>
      <c r="K24" s="13" t="str">
        <f t="shared" si="26"/>
        <v/>
      </c>
      <c r="L24" s="13" t="str">
        <f t="shared" si="26"/>
        <v/>
      </c>
      <c r="M24" s="13" t="str">
        <f t="shared" si="26"/>
        <v/>
      </c>
      <c r="N24" s="13" t="str">
        <f t="shared" si="26"/>
        <v/>
      </c>
      <c r="O24" s="13" t="str">
        <f t="shared" si="26"/>
        <v/>
      </c>
      <c r="P24" s="13" t="str">
        <f t="shared" si="26"/>
        <v/>
      </c>
      <c r="Q24" s="13" t="str">
        <f t="shared" si="27"/>
        <v/>
      </c>
      <c r="R24" s="13" t="str">
        <f t="shared" si="27"/>
        <v/>
      </c>
      <c r="S24" s="13" t="str">
        <f t="shared" si="27"/>
        <v/>
      </c>
      <c r="T24" s="13" t="str">
        <f t="shared" si="27"/>
        <v/>
      </c>
      <c r="U24" s="13" t="str">
        <f t="shared" si="27"/>
        <v/>
      </c>
      <c r="V24" s="13" t="str">
        <f t="shared" si="27"/>
        <v/>
      </c>
      <c r="W24" s="13" t="str">
        <f t="shared" si="27"/>
        <v/>
      </c>
      <c r="X24" s="13" t="str">
        <f t="shared" si="27"/>
        <v/>
      </c>
      <c r="Y24" s="13" t="str">
        <f t="shared" si="27"/>
        <v/>
      </c>
      <c r="Z24" s="13" t="str">
        <f t="shared" si="27"/>
        <v/>
      </c>
      <c r="AA24" s="13" t="str">
        <f t="shared" si="28"/>
        <v/>
      </c>
      <c r="AB24" s="13" t="str">
        <f t="shared" si="28"/>
        <v/>
      </c>
      <c r="AC24" s="13" t="str">
        <f t="shared" si="28"/>
        <v/>
      </c>
      <c r="AD24" s="13" t="str">
        <f t="shared" si="28"/>
        <v/>
      </c>
      <c r="AE24" s="13" t="str">
        <f t="shared" si="28"/>
        <v/>
      </c>
      <c r="AF24" s="13" t="str">
        <f t="shared" si="28"/>
        <v/>
      </c>
      <c r="AG24" s="13" t="str">
        <f t="shared" si="28"/>
        <v/>
      </c>
      <c r="AH24" s="13" t="str">
        <f t="shared" si="28"/>
        <v/>
      </c>
      <c r="AI24" s="13" t="str">
        <f t="shared" si="28"/>
        <v/>
      </c>
      <c r="AJ24" s="13" t="str">
        <f t="shared" si="28"/>
        <v/>
      </c>
      <c r="AK24" s="13" t="str">
        <f t="shared" si="29"/>
        <v/>
      </c>
      <c r="AL24" s="13" t="str">
        <f t="shared" si="29"/>
        <v/>
      </c>
      <c r="AM24" s="13" t="str">
        <f t="shared" si="29"/>
        <v/>
      </c>
      <c r="AN24" s="13" t="str">
        <f t="shared" si="29"/>
        <v/>
      </c>
      <c r="AO24" s="13" t="str">
        <f t="shared" si="29"/>
        <v/>
      </c>
      <c r="AP24" s="13" t="str">
        <f t="shared" si="29"/>
        <v/>
      </c>
      <c r="AQ24" s="13" t="str">
        <f t="shared" si="29"/>
        <v/>
      </c>
      <c r="AR24" s="13" t="str">
        <f t="shared" si="29"/>
        <v/>
      </c>
      <c r="AS24" s="13" t="str">
        <f t="shared" si="29"/>
        <v/>
      </c>
      <c r="AT24" s="13" t="str">
        <f t="shared" si="29"/>
        <v/>
      </c>
      <c r="AU24" s="13" t="str">
        <f t="shared" si="30"/>
        <v/>
      </c>
      <c r="AV24" s="13" t="str">
        <f t="shared" si="30"/>
        <v>▪</v>
      </c>
      <c r="AW24" s="13" t="str">
        <f t="shared" si="30"/>
        <v/>
      </c>
      <c r="AX24" s="13" t="str">
        <f t="shared" si="30"/>
        <v/>
      </c>
      <c r="AY24" s="13" t="str">
        <f t="shared" si="30"/>
        <v/>
      </c>
      <c r="AZ24" s="13" t="str">
        <f t="shared" si="30"/>
        <v/>
      </c>
      <c r="BA24" s="13" t="str">
        <f t="shared" si="30"/>
        <v/>
      </c>
      <c r="BB24" s="13" t="str">
        <f t="shared" si="30"/>
        <v/>
      </c>
      <c r="BC24" s="13" t="str">
        <f t="shared" si="30"/>
        <v/>
      </c>
      <c r="BD24" s="13" t="str">
        <f t="shared" si="30"/>
        <v/>
      </c>
      <c r="BE24" s="13" t="str">
        <f t="shared" si="31"/>
        <v/>
      </c>
      <c r="BF24" s="13" t="str">
        <f t="shared" si="31"/>
        <v/>
      </c>
      <c r="BG24" s="13" t="str">
        <f t="shared" si="31"/>
        <v/>
      </c>
      <c r="BH24" s="13" t="str">
        <f t="shared" si="31"/>
        <v/>
      </c>
      <c r="BI24" s="13" t="str">
        <f t="shared" si="31"/>
        <v/>
      </c>
      <c r="BJ24" s="13" t="str">
        <f t="shared" si="31"/>
        <v/>
      </c>
      <c r="BK24" s="13" t="str">
        <f t="shared" si="31"/>
        <v/>
      </c>
      <c r="BL24" s="13" t="str">
        <f t="shared" si="31"/>
        <v/>
      </c>
      <c r="BM24" s="13" t="str">
        <f t="shared" si="31"/>
        <v/>
      </c>
      <c r="BN24" s="13" t="str">
        <f t="shared" si="31"/>
        <v/>
      </c>
      <c r="BO24" s="13" t="str">
        <f t="shared" si="32"/>
        <v/>
      </c>
      <c r="BP24" s="13" t="str">
        <f t="shared" si="32"/>
        <v/>
      </c>
      <c r="BQ24" s="13" t="str">
        <f t="shared" si="32"/>
        <v/>
      </c>
      <c r="BR24" s="13" t="str">
        <f t="shared" si="32"/>
        <v/>
      </c>
      <c r="BS24" s="13" t="str">
        <f t="shared" si="32"/>
        <v/>
      </c>
      <c r="BT24" s="13" t="str">
        <f t="shared" si="32"/>
        <v/>
      </c>
      <c r="BU24" s="13" t="str">
        <f t="shared" si="32"/>
        <v/>
      </c>
      <c r="BV24" s="13" t="str">
        <f t="shared" si="32"/>
        <v/>
      </c>
      <c r="BW24" s="13" t="str">
        <f t="shared" si="32"/>
        <v/>
      </c>
      <c r="BX24" s="13" t="str">
        <f t="shared" si="32"/>
        <v/>
      </c>
      <c r="BY24" s="13" t="str">
        <f t="shared" si="33"/>
        <v/>
      </c>
      <c r="BZ24" s="13" t="str">
        <f t="shared" si="33"/>
        <v/>
      </c>
      <c r="CA24" s="13" t="str">
        <f t="shared" si="33"/>
        <v/>
      </c>
      <c r="CB24" s="13" t="str">
        <f t="shared" si="33"/>
        <v/>
      </c>
      <c r="CC24" s="13" t="str">
        <f t="shared" si="33"/>
        <v/>
      </c>
      <c r="CD24" s="13" t="str">
        <f t="shared" si="33"/>
        <v/>
      </c>
      <c r="CE24" s="13" t="str">
        <f t="shared" si="33"/>
        <v/>
      </c>
      <c r="CF24" s="13" t="str">
        <f t="shared" si="33"/>
        <v/>
      </c>
      <c r="CG24" s="13" t="str">
        <f t="shared" si="33"/>
        <v/>
      </c>
      <c r="CH24" s="13" t="str">
        <f t="shared" si="33"/>
        <v/>
      </c>
      <c r="CI24" s="13" t="str">
        <f t="shared" si="34"/>
        <v/>
      </c>
      <c r="CJ24" s="13" t="str">
        <f t="shared" si="34"/>
        <v/>
      </c>
      <c r="CK24" s="13" t="str">
        <f t="shared" si="34"/>
        <v/>
      </c>
      <c r="CL24" s="13" t="str">
        <f t="shared" si="34"/>
        <v/>
      </c>
      <c r="CM24" s="13" t="str">
        <f t="shared" si="34"/>
        <v/>
      </c>
      <c r="CN24" s="13" t="str">
        <f t="shared" si="34"/>
        <v/>
      </c>
      <c r="CO24" s="13" t="str">
        <f t="shared" si="34"/>
        <v/>
      </c>
      <c r="CP24" s="13" t="str">
        <f t="shared" si="34"/>
        <v/>
      </c>
      <c r="CQ24" s="13" t="str">
        <f t="shared" si="34"/>
        <v/>
      </c>
      <c r="CR24" s="13" t="str">
        <f t="shared" si="34"/>
        <v/>
      </c>
      <c r="CS24" s="13" t="str">
        <f t="shared" si="35"/>
        <v/>
      </c>
      <c r="CT24" s="13" t="str">
        <f t="shared" si="35"/>
        <v/>
      </c>
      <c r="CU24" s="13" t="str">
        <f t="shared" si="35"/>
        <v/>
      </c>
      <c r="CV24" s="13" t="str">
        <f t="shared" si="35"/>
        <v/>
      </c>
      <c r="CW24" s="13" t="str">
        <f t="shared" si="35"/>
        <v/>
      </c>
      <c r="CX24" s="13" t="str">
        <f t="shared" si="35"/>
        <v/>
      </c>
      <c r="CY24" s="13" t="str">
        <f t="shared" si="35"/>
        <v/>
      </c>
      <c r="CZ24" s="13" t="str">
        <f t="shared" si="35"/>
        <v/>
      </c>
      <c r="DA24" s="13" t="str">
        <f t="shared" si="35"/>
        <v/>
      </c>
      <c r="DB24" s="13" t="str">
        <f t="shared" si="35"/>
        <v/>
      </c>
      <c r="DC24" s="13" t="str">
        <f t="shared" si="36"/>
        <v/>
      </c>
      <c r="DD24" s="13" t="str">
        <f t="shared" si="36"/>
        <v/>
      </c>
      <c r="DE24" s="13" t="str">
        <f t="shared" si="36"/>
        <v/>
      </c>
      <c r="DF24" s="13" t="str">
        <f t="shared" si="36"/>
        <v/>
      </c>
      <c r="DG24" s="13" t="str">
        <f t="shared" si="36"/>
        <v/>
      </c>
      <c r="DH24" s="13" t="str">
        <f t="shared" si="36"/>
        <v/>
      </c>
      <c r="DI24" s="13" t="str">
        <f t="shared" si="36"/>
        <v/>
      </c>
      <c r="DJ24" s="13" t="str">
        <f t="shared" si="36"/>
        <v/>
      </c>
      <c r="DK24" s="13" t="str">
        <f t="shared" si="36"/>
        <v/>
      </c>
      <c r="DL24" s="13" t="str">
        <f t="shared" si="36"/>
        <v/>
      </c>
      <c r="DM24" s="13" t="str">
        <f t="shared" si="37"/>
        <v/>
      </c>
      <c r="DN24" s="13" t="str">
        <f t="shared" si="37"/>
        <v/>
      </c>
      <c r="DO24" s="13" t="str">
        <f t="shared" si="37"/>
        <v/>
      </c>
      <c r="DP24" s="13" t="str">
        <f t="shared" si="37"/>
        <v/>
      </c>
      <c r="DQ24" s="13" t="str">
        <f t="shared" si="37"/>
        <v/>
      </c>
      <c r="DR24" s="13" t="str">
        <f t="shared" si="37"/>
        <v/>
      </c>
      <c r="DS24" s="13" t="str">
        <f t="shared" si="37"/>
        <v/>
      </c>
      <c r="DT24" s="13" t="str">
        <f t="shared" si="37"/>
        <v/>
      </c>
      <c r="DU24" s="13" t="str">
        <f t="shared" si="37"/>
        <v/>
      </c>
      <c r="DV24" s="13" t="str">
        <f t="shared" si="37"/>
        <v/>
      </c>
      <c r="DW24" s="13" t="str">
        <f t="shared" si="38"/>
        <v/>
      </c>
      <c r="DX24" s="13" t="str">
        <f t="shared" si="38"/>
        <v/>
      </c>
      <c r="DY24" s="13" t="str">
        <f t="shared" si="38"/>
        <v/>
      </c>
      <c r="DZ24" s="13" t="str">
        <f t="shared" si="38"/>
        <v/>
      </c>
      <c r="EA24" s="13" t="str">
        <f t="shared" si="38"/>
        <v/>
      </c>
      <c r="EB24" s="13" t="str">
        <f t="shared" si="38"/>
        <v/>
      </c>
      <c r="EC24" s="13" t="str">
        <f t="shared" si="38"/>
        <v/>
      </c>
      <c r="ED24" s="13" t="str">
        <f t="shared" si="38"/>
        <v/>
      </c>
      <c r="EE24" s="13" t="str">
        <f t="shared" si="38"/>
        <v/>
      </c>
      <c r="EF24" s="13" t="str">
        <f t="shared" si="38"/>
        <v/>
      </c>
      <c r="EG24" s="13" t="str">
        <f t="shared" si="38"/>
        <v/>
      </c>
      <c r="EH24" s="13" t="str">
        <f t="shared" si="38"/>
        <v/>
      </c>
    </row>
    <row r="25" spans="1:138" ht="13.5" customHeight="1">
      <c r="A25" s="55" t="s">
        <v>104</v>
      </c>
      <c r="B25" s="56" t="s">
        <v>105</v>
      </c>
      <c r="C25" s="57" t="s">
        <v>86</v>
      </c>
      <c r="D25" s="9" t="s">
        <v>79</v>
      </c>
      <c r="E25" s="10">
        <v>46265</v>
      </c>
      <c r="F25" s="10">
        <v>46266</v>
      </c>
      <c r="G25" s="11" t="str">
        <f t="shared" si="26"/>
        <v/>
      </c>
      <c r="H25" s="11" t="str">
        <f t="shared" si="26"/>
        <v/>
      </c>
      <c r="I25" s="11" t="str">
        <f t="shared" si="26"/>
        <v/>
      </c>
      <c r="J25" s="11" t="str">
        <f t="shared" si="26"/>
        <v/>
      </c>
      <c r="K25" s="11" t="str">
        <f t="shared" si="26"/>
        <v/>
      </c>
      <c r="L25" s="11" t="str">
        <f t="shared" si="26"/>
        <v/>
      </c>
      <c r="M25" s="11" t="str">
        <f t="shared" si="26"/>
        <v/>
      </c>
      <c r="N25" s="11" t="str">
        <f t="shared" si="26"/>
        <v/>
      </c>
      <c r="O25" s="11" t="str">
        <f t="shared" si="26"/>
        <v/>
      </c>
      <c r="P25" s="11" t="str">
        <f t="shared" si="26"/>
        <v/>
      </c>
      <c r="Q25" s="11" t="str">
        <f t="shared" si="27"/>
        <v/>
      </c>
      <c r="R25" s="11" t="str">
        <f t="shared" si="27"/>
        <v/>
      </c>
      <c r="S25" s="11" t="str">
        <f t="shared" si="27"/>
        <v/>
      </c>
      <c r="T25" s="11" t="str">
        <f t="shared" si="27"/>
        <v/>
      </c>
      <c r="U25" s="11" t="str">
        <f t="shared" si="27"/>
        <v/>
      </c>
      <c r="V25" s="11" t="str">
        <f t="shared" si="27"/>
        <v/>
      </c>
      <c r="W25" s="11" t="str">
        <f t="shared" si="27"/>
        <v/>
      </c>
      <c r="X25" s="11" t="str">
        <f t="shared" si="27"/>
        <v/>
      </c>
      <c r="Y25" s="11" t="str">
        <f t="shared" si="27"/>
        <v/>
      </c>
      <c r="Z25" s="11" t="str">
        <f t="shared" si="27"/>
        <v/>
      </c>
      <c r="AA25" s="11" t="str">
        <f t="shared" si="28"/>
        <v/>
      </c>
      <c r="AB25" s="11" t="str">
        <f t="shared" si="28"/>
        <v/>
      </c>
      <c r="AC25" s="11" t="str">
        <f t="shared" si="28"/>
        <v/>
      </c>
      <c r="AD25" s="11" t="str">
        <f t="shared" si="28"/>
        <v/>
      </c>
      <c r="AE25" s="11" t="str">
        <f t="shared" si="28"/>
        <v/>
      </c>
      <c r="AF25" s="11" t="str">
        <f t="shared" si="28"/>
        <v/>
      </c>
      <c r="AG25" s="11" t="str">
        <f t="shared" si="28"/>
        <v/>
      </c>
      <c r="AH25" s="11" t="str">
        <f t="shared" si="28"/>
        <v/>
      </c>
      <c r="AI25" s="11" t="str">
        <f t="shared" si="28"/>
        <v/>
      </c>
      <c r="AJ25" s="11" t="str">
        <f t="shared" si="28"/>
        <v/>
      </c>
      <c r="AK25" s="11" t="str">
        <f t="shared" si="29"/>
        <v>▪</v>
      </c>
      <c r="AL25" s="11" t="str">
        <f t="shared" si="29"/>
        <v>▪</v>
      </c>
      <c r="AM25" s="11" t="str">
        <f t="shared" si="29"/>
        <v/>
      </c>
      <c r="AN25" s="11" t="str">
        <f t="shared" si="29"/>
        <v/>
      </c>
      <c r="AO25" s="11" t="str">
        <f t="shared" si="29"/>
        <v/>
      </c>
      <c r="AP25" s="11" t="str">
        <f t="shared" si="29"/>
        <v/>
      </c>
      <c r="AQ25" s="11" t="str">
        <f t="shared" si="29"/>
        <v/>
      </c>
      <c r="AR25" s="11" t="str">
        <f t="shared" si="29"/>
        <v/>
      </c>
      <c r="AS25" s="11" t="str">
        <f t="shared" si="29"/>
        <v/>
      </c>
      <c r="AT25" s="11" t="str">
        <f t="shared" si="29"/>
        <v/>
      </c>
      <c r="AU25" s="11" t="str">
        <f t="shared" si="30"/>
        <v/>
      </c>
      <c r="AV25" s="11" t="str">
        <f t="shared" si="30"/>
        <v/>
      </c>
      <c r="AW25" s="11" t="str">
        <f t="shared" si="30"/>
        <v/>
      </c>
      <c r="AX25" s="11" t="str">
        <f t="shared" si="30"/>
        <v/>
      </c>
      <c r="AY25" s="11" t="str">
        <f t="shared" si="30"/>
        <v/>
      </c>
      <c r="AZ25" s="11" t="str">
        <f t="shared" si="30"/>
        <v/>
      </c>
      <c r="BA25" s="11" t="str">
        <f t="shared" si="30"/>
        <v/>
      </c>
      <c r="BB25" s="11" t="str">
        <f t="shared" si="30"/>
        <v/>
      </c>
      <c r="BC25" s="11" t="str">
        <f t="shared" si="30"/>
        <v/>
      </c>
      <c r="BD25" s="11" t="str">
        <f t="shared" si="30"/>
        <v/>
      </c>
      <c r="BE25" s="11" t="str">
        <f t="shared" si="31"/>
        <v/>
      </c>
      <c r="BF25" s="11" t="str">
        <f t="shared" si="31"/>
        <v/>
      </c>
      <c r="BG25" s="11" t="str">
        <f t="shared" si="31"/>
        <v/>
      </c>
      <c r="BH25" s="11" t="str">
        <f t="shared" si="31"/>
        <v/>
      </c>
      <c r="BI25" s="11" t="str">
        <f t="shared" si="31"/>
        <v/>
      </c>
      <c r="BJ25" s="11" t="str">
        <f t="shared" si="31"/>
        <v/>
      </c>
      <c r="BK25" s="11" t="str">
        <f t="shared" si="31"/>
        <v/>
      </c>
      <c r="BL25" s="11" t="str">
        <f t="shared" si="31"/>
        <v/>
      </c>
      <c r="BM25" s="11" t="str">
        <f t="shared" si="31"/>
        <v/>
      </c>
      <c r="BN25" s="11" t="str">
        <f t="shared" si="31"/>
        <v/>
      </c>
      <c r="BO25" s="11" t="str">
        <f t="shared" si="32"/>
        <v/>
      </c>
      <c r="BP25" s="11" t="str">
        <f t="shared" si="32"/>
        <v/>
      </c>
      <c r="BQ25" s="11" t="str">
        <f t="shared" si="32"/>
        <v/>
      </c>
      <c r="BR25" s="11" t="str">
        <f t="shared" si="32"/>
        <v/>
      </c>
      <c r="BS25" s="11" t="str">
        <f t="shared" si="32"/>
        <v/>
      </c>
      <c r="BT25" s="11" t="str">
        <f t="shared" si="32"/>
        <v/>
      </c>
      <c r="BU25" s="11" t="str">
        <f t="shared" si="32"/>
        <v/>
      </c>
      <c r="BV25" s="11" t="str">
        <f t="shared" si="32"/>
        <v/>
      </c>
      <c r="BW25" s="11" t="str">
        <f t="shared" si="32"/>
        <v/>
      </c>
      <c r="BX25" s="11" t="str">
        <f t="shared" si="32"/>
        <v/>
      </c>
      <c r="BY25" s="11" t="str">
        <f t="shared" si="33"/>
        <v/>
      </c>
      <c r="BZ25" s="11" t="str">
        <f t="shared" si="33"/>
        <v/>
      </c>
      <c r="CA25" s="11" t="str">
        <f t="shared" si="33"/>
        <v/>
      </c>
      <c r="CB25" s="11" t="str">
        <f t="shared" si="33"/>
        <v/>
      </c>
      <c r="CC25" s="11" t="str">
        <f t="shared" si="33"/>
        <v/>
      </c>
      <c r="CD25" s="11" t="str">
        <f t="shared" si="33"/>
        <v/>
      </c>
      <c r="CE25" s="11" t="str">
        <f t="shared" si="33"/>
        <v/>
      </c>
      <c r="CF25" s="11" t="str">
        <f t="shared" si="33"/>
        <v/>
      </c>
      <c r="CG25" s="11" t="str">
        <f t="shared" si="33"/>
        <v/>
      </c>
      <c r="CH25" s="11" t="str">
        <f t="shared" si="33"/>
        <v/>
      </c>
      <c r="CI25" s="11" t="str">
        <f t="shared" si="34"/>
        <v/>
      </c>
      <c r="CJ25" s="11" t="str">
        <f t="shared" si="34"/>
        <v/>
      </c>
      <c r="CK25" s="11" t="str">
        <f t="shared" si="34"/>
        <v/>
      </c>
      <c r="CL25" s="11" t="str">
        <f t="shared" si="34"/>
        <v/>
      </c>
      <c r="CM25" s="11" t="str">
        <f t="shared" si="34"/>
        <v/>
      </c>
      <c r="CN25" s="11" t="str">
        <f t="shared" si="34"/>
        <v/>
      </c>
      <c r="CO25" s="11" t="str">
        <f t="shared" si="34"/>
        <v/>
      </c>
      <c r="CP25" s="11" t="str">
        <f t="shared" si="34"/>
        <v/>
      </c>
      <c r="CQ25" s="11" t="str">
        <f t="shared" si="34"/>
        <v/>
      </c>
      <c r="CR25" s="11" t="str">
        <f t="shared" si="34"/>
        <v/>
      </c>
      <c r="CS25" s="11" t="str">
        <f t="shared" si="35"/>
        <v/>
      </c>
      <c r="CT25" s="11" t="str">
        <f t="shared" si="35"/>
        <v/>
      </c>
      <c r="CU25" s="11" t="str">
        <f t="shared" si="35"/>
        <v/>
      </c>
      <c r="CV25" s="11" t="str">
        <f t="shared" si="35"/>
        <v/>
      </c>
      <c r="CW25" s="11" t="str">
        <f t="shared" si="35"/>
        <v/>
      </c>
      <c r="CX25" s="11" t="str">
        <f t="shared" si="35"/>
        <v/>
      </c>
      <c r="CY25" s="11" t="str">
        <f t="shared" si="35"/>
        <v/>
      </c>
      <c r="CZ25" s="11" t="str">
        <f t="shared" si="35"/>
        <v/>
      </c>
      <c r="DA25" s="11" t="str">
        <f t="shared" si="35"/>
        <v/>
      </c>
      <c r="DB25" s="11" t="str">
        <f t="shared" si="35"/>
        <v/>
      </c>
      <c r="DC25" s="11" t="str">
        <f t="shared" si="36"/>
        <v/>
      </c>
      <c r="DD25" s="11" t="str">
        <f t="shared" si="36"/>
        <v/>
      </c>
      <c r="DE25" s="11" t="str">
        <f t="shared" si="36"/>
        <v/>
      </c>
      <c r="DF25" s="11" t="str">
        <f t="shared" si="36"/>
        <v/>
      </c>
      <c r="DG25" s="11" t="str">
        <f t="shared" si="36"/>
        <v/>
      </c>
      <c r="DH25" s="11" t="str">
        <f t="shared" si="36"/>
        <v/>
      </c>
      <c r="DI25" s="11" t="str">
        <f t="shared" si="36"/>
        <v/>
      </c>
      <c r="DJ25" s="11" t="str">
        <f t="shared" si="36"/>
        <v/>
      </c>
      <c r="DK25" s="11" t="str">
        <f t="shared" si="36"/>
        <v/>
      </c>
      <c r="DL25" s="11" t="str">
        <f t="shared" si="36"/>
        <v/>
      </c>
      <c r="DM25" s="11" t="str">
        <f t="shared" si="37"/>
        <v/>
      </c>
      <c r="DN25" s="11" t="str">
        <f t="shared" si="37"/>
        <v/>
      </c>
      <c r="DO25" s="11" t="str">
        <f t="shared" si="37"/>
        <v/>
      </c>
      <c r="DP25" s="11" t="str">
        <f t="shared" si="37"/>
        <v/>
      </c>
      <c r="DQ25" s="11" t="str">
        <f t="shared" si="37"/>
        <v/>
      </c>
      <c r="DR25" s="11" t="str">
        <f t="shared" si="37"/>
        <v/>
      </c>
      <c r="DS25" s="11" t="str">
        <f t="shared" si="37"/>
        <v/>
      </c>
      <c r="DT25" s="11" t="str">
        <f t="shared" si="37"/>
        <v/>
      </c>
      <c r="DU25" s="11" t="str">
        <f t="shared" si="37"/>
        <v/>
      </c>
      <c r="DV25" s="11" t="str">
        <f t="shared" si="37"/>
        <v/>
      </c>
      <c r="DW25" s="11" t="str">
        <f t="shared" si="38"/>
        <v/>
      </c>
      <c r="DX25" s="11" t="str">
        <f t="shared" si="38"/>
        <v/>
      </c>
      <c r="DY25" s="11" t="str">
        <f t="shared" si="38"/>
        <v/>
      </c>
      <c r="DZ25" s="11" t="str">
        <f t="shared" si="38"/>
        <v/>
      </c>
      <c r="EA25" s="11" t="str">
        <f t="shared" si="38"/>
        <v/>
      </c>
      <c r="EB25" s="11" t="str">
        <f t="shared" si="38"/>
        <v/>
      </c>
      <c r="EC25" s="11" t="str">
        <f t="shared" si="38"/>
        <v/>
      </c>
      <c r="ED25" s="11" t="str">
        <f t="shared" si="38"/>
        <v/>
      </c>
      <c r="EE25" s="11" t="str">
        <f t="shared" si="38"/>
        <v/>
      </c>
      <c r="EF25" s="11" t="str">
        <f t="shared" si="38"/>
        <v/>
      </c>
      <c r="EG25" s="11" t="str">
        <f t="shared" si="38"/>
        <v/>
      </c>
      <c r="EH25" s="11" t="str">
        <f t="shared" si="38"/>
        <v/>
      </c>
    </row>
    <row r="26" spans="1:138" ht="13.5" customHeight="1">
      <c r="A26" s="55"/>
      <c r="B26" s="55"/>
      <c r="C26" s="55"/>
      <c r="D26" s="12" t="s">
        <v>80</v>
      </c>
      <c r="E26" s="10">
        <v>46270</v>
      </c>
      <c r="F26" s="10">
        <v>46276</v>
      </c>
      <c r="G26" s="13" t="str">
        <f t="shared" si="26"/>
        <v/>
      </c>
      <c r="H26" s="13" t="str">
        <f t="shared" si="26"/>
        <v/>
      </c>
      <c r="I26" s="13" t="str">
        <f t="shared" si="26"/>
        <v/>
      </c>
      <c r="J26" s="13" t="str">
        <f t="shared" si="26"/>
        <v/>
      </c>
      <c r="K26" s="13" t="str">
        <f t="shared" si="26"/>
        <v/>
      </c>
      <c r="L26" s="13" t="str">
        <f t="shared" si="26"/>
        <v/>
      </c>
      <c r="M26" s="13" t="str">
        <f t="shared" si="26"/>
        <v/>
      </c>
      <c r="N26" s="13" t="str">
        <f t="shared" si="26"/>
        <v/>
      </c>
      <c r="O26" s="13" t="str">
        <f t="shared" si="26"/>
        <v/>
      </c>
      <c r="P26" s="13" t="str">
        <f t="shared" si="26"/>
        <v/>
      </c>
      <c r="Q26" s="13" t="str">
        <f t="shared" si="27"/>
        <v/>
      </c>
      <c r="R26" s="13" t="str">
        <f t="shared" si="27"/>
        <v/>
      </c>
      <c r="S26" s="13" t="str">
        <f t="shared" si="27"/>
        <v/>
      </c>
      <c r="T26" s="13" t="str">
        <f t="shared" si="27"/>
        <v/>
      </c>
      <c r="U26" s="13" t="str">
        <f t="shared" si="27"/>
        <v/>
      </c>
      <c r="V26" s="13" t="str">
        <f t="shared" si="27"/>
        <v/>
      </c>
      <c r="W26" s="13" t="str">
        <f t="shared" si="27"/>
        <v/>
      </c>
      <c r="X26" s="13" t="str">
        <f t="shared" si="27"/>
        <v/>
      </c>
      <c r="Y26" s="13" t="str">
        <f t="shared" si="27"/>
        <v/>
      </c>
      <c r="Z26" s="13" t="str">
        <f t="shared" si="27"/>
        <v/>
      </c>
      <c r="AA26" s="13" t="str">
        <f t="shared" si="28"/>
        <v/>
      </c>
      <c r="AB26" s="13" t="str">
        <f t="shared" si="28"/>
        <v/>
      </c>
      <c r="AC26" s="13" t="str">
        <f t="shared" si="28"/>
        <v/>
      </c>
      <c r="AD26" s="13" t="str">
        <f t="shared" si="28"/>
        <v/>
      </c>
      <c r="AE26" s="13" t="str">
        <f t="shared" si="28"/>
        <v/>
      </c>
      <c r="AF26" s="13" t="str">
        <f t="shared" si="28"/>
        <v/>
      </c>
      <c r="AG26" s="13" t="str">
        <f t="shared" si="28"/>
        <v/>
      </c>
      <c r="AH26" s="13" t="str">
        <f t="shared" si="28"/>
        <v/>
      </c>
      <c r="AI26" s="13" t="str">
        <f t="shared" si="28"/>
        <v/>
      </c>
      <c r="AJ26" s="13" t="str">
        <f t="shared" si="28"/>
        <v/>
      </c>
      <c r="AK26" s="13" t="str">
        <f t="shared" si="29"/>
        <v/>
      </c>
      <c r="AL26" s="13" t="str">
        <f t="shared" si="29"/>
        <v/>
      </c>
      <c r="AM26" s="13" t="str">
        <f t="shared" si="29"/>
        <v/>
      </c>
      <c r="AN26" s="13" t="str">
        <f t="shared" si="29"/>
        <v/>
      </c>
      <c r="AO26" s="13" t="str">
        <f t="shared" si="29"/>
        <v/>
      </c>
      <c r="AP26" s="13" t="str">
        <f t="shared" si="29"/>
        <v>▪</v>
      </c>
      <c r="AQ26" s="13" t="str">
        <f t="shared" si="29"/>
        <v>▪</v>
      </c>
      <c r="AR26" s="13" t="str">
        <f t="shared" si="29"/>
        <v>▪</v>
      </c>
      <c r="AS26" s="13" t="str">
        <f t="shared" si="29"/>
        <v>▪</v>
      </c>
      <c r="AT26" s="13" t="str">
        <f t="shared" si="29"/>
        <v>▪</v>
      </c>
      <c r="AU26" s="13" t="str">
        <f t="shared" si="30"/>
        <v>▪</v>
      </c>
      <c r="AV26" s="13" t="str">
        <f t="shared" si="30"/>
        <v>▪</v>
      </c>
      <c r="AW26" s="13" t="str">
        <f t="shared" si="30"/>
        <v/>
      </c>
      <c r="AX26" s="13" t="str">
        <f t="shared" si="30"/>
        <v/>
      </c>
      <c r="AY26" s="13" t="str">
        <f t="shared" si="30"/>
        <v/>
      </c>
      <c r="AZ26" s="13" t="str">
        <f t="shared" si="30"/>
        <v/>
      </c>
      <c r="BA26" s="13" t="str">
        <f t="shared" si="30"/>
        <v/>
      </c>
      <c r="BB26" s="13" t="str">
        <f t="shared" si="30"/>
        <v/>
      </c>
      <c r="BC26" s="13" t="str">
        <f t="shared" si="30"/>
        <v/>
      </c>
      <c r="BD26" s="13" t="str">
        <f t="shared" si="30"/>
        <v/>
      </c>
      <c r="BE26" s="13" t="str">
        <f t="shared" si="31"/>
        <v/>
      </c>
      <c r="BF26" s="13" t="str">
        <f t="shared" si="31"/>
        <v/>
      </c>
      <c r="BG26" s="13" t="str">
        <f t="shared" si="31"/>
        <v/>
      </c>
      <c r="BH26" s="13" t="str">
        <f t="shared" si="31"/>
        <v/>
      </c>
      <c r="BI26" s="13" t="str">
        <f t="shared" si="31"/>
        <v/>
      </c>
      <c r="BJ26" s="13" t="str">
        <f t="shared" si="31"/>
        <v/>
      </c>
      <c r="BK26" s="13" t="str">
        <f t="shared" si="31"/>
        <v/>
      </c>
      <c r="BL26" s="13" t="str">
        <f t="shared" si="31"/>
        <v/>
      </c>
      <c r="BM26" s="13" t="str">
        <f t="shared" si="31"/>
        <v/>
      </c>
      <c r="BN26" s="13" t="str">
        <f t="shared" si="31"/>
        <v/>
      </c>
      <c r="BO26" s="13" t="str">
        <f t="shared" si="32"/>
        <v/>
      </c>
      <c r="BP26" s="13" t="str">
        <f t="shared" si="32"/>
        <v/>
      </c>
      <c r="BQ26" s="13" t="str">
        <f t="shared" si="32"/>
        <v/>
      </c>
      <c r="BR26" s="13" t="str">
        <f t="shared" si="32"/>
        <v/>
      </c>
      <c r="BS26" s="13" t="str">
        <f t="shared" si="32"/>
        <v/>
      </c>
      <c r="BT26" s="13" t="str">
        <f t="shared" si="32"/>
        <v/>
      </c>
      <c r="BU26" s="13" t="str">
        <f t="shared" si="32"/>
        <v/>
      </c>
      <c r="BV26" s="13" t="str">
        <f t="shared" si="32"/>
        <v/>
      </c>
      <c r="BW26" s="13" t="str">
        <f t="shared" si="32"/>
        <v/>
      </c>
      <c r="BX26" s="13" t="str">
        <f t="shared" si="32"/>
        <v/>
      </c>
      <c r="BY26" s="13" t="str">
        <f t="shared" si="33"/>
        <v/>
      </c>
      <c r="BZ26" s="13" t="str">
        <f t="shared" si="33"/>
        <v/>
      </c>
      <c r="CA26" s="13" t="str">
        <f t="shared" si="33"/>
        <v/>
      </c>
      <c r="CB26" s="13" t="str">
        <f t="shared" si="33"/>
        <v/>
      </c>
      <c r="CC26" s="13" t="str">
        <f t="shared" si="33"/>
        <v/>
      </c>
      <c r="CD26" s="13" t="str">
        <f t="shared" si="33"/>
        <v/>
      </c>
      <c r="CE26" s="13" t="str">
        <f t="shared" si="33"/>
        <v/>
      </c>
      <c r="CF26" s="13" t="str">
        <f t="shared" si="33"/>
        <v/>
      </c>
      <c r="CG26" s="13" t="str">
        <f t="shared" si="33"/>
        <v/>
      </c>
      <c r="CH26" s="13" t="str">
        <f t="shared" si="33"/>
        <v/>
      </c>
      <c r="CI26" s="13" t="str">
        <f t="shared" si="34"/>
        <v/>
      </c>
      <c r="CJ26" s="13" t="str">
        <f t="shared" si="34"/>
        <v/>
      </c>
      <c r="CK26" s="13" t="str">
        <f t="shared" si="34"/>
        <v/>
      </c>
      <c r="CL26" s="13" t="str">
        <f t="shared" si="34"/>
        <v/>
      </c>
      <c r="CM26" s="13" t="str">
        <f t="shared" si="34"/>
        <v/>
      </c>
      <c r="CN26" s="13" t="str">
        <f t="shared" si="34"/>
        <v/>
      </c>
      <c r="CO26" s="13" t="str">
        <f t="shared" si="34"/>
        <v/>
      </c>
      <c r="CP26" s="13" t="str">
        <f t="shared" si="34"/>
        <v/>
      </c>
      <c r="CQ26" s="13" t="str">
        <f t="shared" si="34"/>
        <v/>
      </c>
      <c r="CR26" s="13" t="str">
        <f t="shared" si="34"/>
        <v/>
      </c>
      <c r="CS26" s="13" t="str">
        <f t="shared" si="35"/>
        <v/>
      </c>
      <c r="CT26" s="13" t="str">
        <f t="shared" si="35"/>
        <v/>
      </c>
      <c r="CU26" s="13" t="str">
        <f t="shared" si="35"/>
        <v/>
      </c>
      <c r="CV26" s="13" t="str">
        <f t="shared" si="35"/>
        <v/>
      </c>
      <c r="CW26" s="13" t="str">
        <f t="shared" si="35"/>
        <v/>
      </c>
      <c r="CX26" s="13" t="str">
        <f t="shared" si="35"/>
        <v/>
      </c>
      <c r="CY26" s="13" t="str">
        <f t="shared" si="35"/>
        <v/>
      </c>
      <c r="CZ26" s="13" t="str">
        <f t="shared" si="35"/>
        <v/>
      </c>
      <c r="DA26" s="13" t="str">
        <f t="shared" si="35"/>
        <v/>
      </c>
      <c r="DB26" s="13" t="str">
        <f t="shared" si="35"/>
        <v/>
      </c>
      <c r="DC26" s="13" t="str">
        <f t="shared" si="36"/>
        <v/>
      </c>
      <c r="DD26" s="13" t="str">
        <f t="shared" si="36"/>
        <v/>
      </c>
      <c r="DE26" s="13" t="str">
        <f t="shared" si="36"/>
        <v/>
      </c>
      <c r="DF26" s="13" t="str">
        <f t="shared" si="36"/>
        <v/>
      </c>
      <c r="DG26" s="13" t="str">
        <f t="shared" si="36"/>
        <v/>
      </c>
      <c r="DH26" s="13" t="str">
        <f t="shared" si="36"/>
        <v/>
      </c>
      <c r="DI26" s="13" t="str">
        <f t="shared" si="36"/>
        <v/>
      </c>
      <c r="DJ26" s="13" t="str">
        <f t="shared" si="36"/>
        <v/>
      </c>
      <c r="DK26" s="13" t="str">
        <f t="shared" si="36"/>
        <v/>
      </c>
      <c r="DL26" s="13" t="str">
        <f t="shared" si="36"/>
        <v/>
      </c>
      <c r="DM26" s="13" t="str">
        <f t="shared" si="37"/>
        <v/>
      </c>
      <c r="DN26" s="13" t="str">
        <f t="shared" si="37"/>
        <v/>
      </c>
      <c r="DO26" s="13" t="str">
        <f t="shared" si="37"/>
        <v/>
      </c>
      <c r="DP26" s="13" t="str">
        <f t="shared" si="37"/>
        <v/>
      </c>
      <c r="DQ26" s="13" t="str">
        <f t="shared" si="37"/>
        <v/>
      </c>
      <c r="DR26" s="13" t="str">
        <f t="shared" si="37"/>
        <v/>
      </c>
      <c r="DS26" s="13" t="str">
        <f t="shared" si="37"/>
        <v/>
      </c>
      <c r="DT26" s="13" t="str">
        <f t="shared" si="37"/>
        <v/>
      </c>
      <c r="DU26" s="13" t="str">
        <f t="shared" si="37"/>
        <v/>
      </c>
      <c r="DV26" s="13" t="str">
        <f t="shared" si="37"/>
        <v/>
      </c>
      <c r="DW26" s="13" t="str">
        <f t="shared" si="38"/>
        <v/>
      </c>
      <c r="DX26" s="13" t="str">
        <f t="shared" si="38"/>
        <v/>
      </c>
      <c r="DY26" s="13" t="str">
        <f t="shared" si="38"/>
        <v/>
      </c>
      <c r="DZ26" s="13" t="str">
        <f t="shared" si="38"/>
        <v/>
      </c>
      <c r="EA26" s="13" t="str">
        <f t="shared" si="38"/>
        <v/>
      </c>
      <c r="EB26" s="13" t="str">
        <f t="shared" si="38"/>
        <v/>
      </c>
      <c r="EC26" s="13" t="str">
        <f t="shared" si="38"/>
        <v/>
      </c>
      <c r="ED26" s="13" t="str">
        <f t="shared" si="38"/>
        <v/>
      </c>
      <c r="EE26" s="13" t="str">
        <f t="shared" si="38"/>
        <v/>
      </c>
      <c r="EF26" s="13" t="str">
        <f t="shared" si="38"/>
        <v/>
      </c>
      <c r="EG26" s="13" t="str">
        <f t="shared" si="38"/>
        <v/>
      </c>
      <c r="EH26" s="13" t="str">
        <f t="shared" si="38"/>
        <v/>
      </c>
    </row>
    <row r="27" spans="1:138" ht="13.5" customHeight="1">
      <c r="A27" s="55" t="s">
        <v>106</v>
      </c>
      <c r="B27" s="56" t="s">
        <v>107</v>
      </c>
      <c r="C27" s="57" t="s">
        <v>101</v>
      </c>
      <c r="D27" s="9" t="s">
        <v>79</v>
      </c>
      <c r="E27" s="10">
        <v>46267</v>
      </c>
      <c r="F27" s="10">
        <v>46270</v>
      </c>
      <c r="G27" s="11" t="str">
        <f t="shared" si="26"/>
        <v/>
      </c>
      <c r="H27" s="11" t="str">
        <f t="shared" si="26"/>
        <v/>
      </c>
      <c r="I27" s="11" t="str">
        <f t="shared" si="26"/>
        <v/>
      </c>
      <c r="J27" s="11" t="str">
        <f t="shared" si="26"/>
        <v/>
      </c>
      <c r="K27" s="11" t="str">
        <f t="shared" si="26"/>
        <v/>
      </c>
      <c r="L27" s="11" t="str">
        <f t="shared" si="26"/>
        <v/>
      </c>
      <c r="M27" s="11" t="str">
        <f t="shared" si="26"/>
        <v/>
      </c>
      <c r="N27" s="11" t="str">
        <f t="shared" si="26"/>
        <v/>
      </c>
      <c r="O27" s="11" t="str">
        <f t="shared" si="26"/>
        <v/>
      </c>
      <c r="P27" s="11" t="str">
        <f t="shared" si="26"/>
        <v/>
      </c>
      <c r="Q27" s="11" t="str">
        <f t="shared" si="27"/>
        <v/>
      </c>
      <c r="R27" s="11" t="str">
        <f t="shared" si="27"/>
        <v/>
      </c>
      <c r="S27" s="11" t="str">
        <f t="shared" si="27"/>
        <v/>
      </c>
      <c r="T27" s="11" t="str">
        <f t="shared" si="27"/>
        <v/>
      </c>
      <c r="U27" s="11" t="str">
        <f t="shared" si="27"/>
        <v/>
      </c>
      <c r="V27" s="11" t="str">
        <f t="shared" si="27"/>
        <v/>
      </c>
      <c r="W27" s="11" t="str">
        <f t="shared" si="27"/>
        <v/>
      </c>
      <c r="X27" s="11" t="str">
        <f t="shared" si="27"/>
        <v/>
      </c>
      <c r="Y27" s="11" t="str">
        <f t="shared" si="27"/>
        <v/>
      </c>
      <c r="Z27" s="11" t="str">
        <f t="shared" si="27"/>
        <v/>
      </c>
      <c r="AA27" s="11" t="str">
        <f t="shared" si="28"/>
        <v/>
      </c>
      <c r="AB27" s="11" t="str">
        <f t="shared" si="28"/>
        <v/>
      </c>
      <c r="AC27" s="11" t="str">
        <f t="shared" si="28"/>
        <v/>
      </c>
      <c r="AD27" s="11" t="str">
        <f t="shared" si="28"/>
        <v/>
      </c>
      <c r="AE27" s="11" t="str">
        <f t="shared" si="28"/>
        <v/>
      </c>
      <c r="AF27" s="11" t="str">
        <f t="shared" si="28"/>
        <v/>
      </c>
      <c r="AG27" s="11" t="str">
        <f t="shared" si="28"/>
        <v/>
      </c>
      <c r="AH27" s="11" t="str">
        <f t="shared" si="28"/>
        <v/>
      </c>
      <c r="AI27" s="11" t="str">
        <f t="shared" si="28"/>
        <v/>
      </c>
      <c r="AJ27" s="11" t="str">
        <f t="shared" si="28"/>
        <v/>
      </c>
      <c r="AK27" s="11" t="str">
        <f t="shared" si="29"/>
        <v/>
      </c>
      <c r="AL27" s="11" t="str">
        <f t="shared" si="29"/>
        <v/>
      </c>
      <c r="AM27" s="11" t="str">
        <f t="shared" si="29"/>
        <v>▪</v>
      </c>
      <c r="AN27" s="11" t="str">
        <f t="shared" si="29"/>
        <v>▪</v>
      </c>
      <c r="AO27" s="11" t="str">
        <f t="shared" si="29"/>
        <v>▪</v>
      </c>
      <c r="AP27" s="11" t="str">
        <f t="shared" si="29"/>
        <v>▪</v>
      </c>
      <c r="AQ27" s="11" t="str">
        <f t="shared" si="29"/>
        <v/>
      </c>
      <c r="AR27" s="11" t="str">
        <f t="shared" si="29"/>
        <v/>
      </c>
      <c r="AS27" s="11" t="str">
        <f t="shared" si="29"/>
        <v/>
      </c>
      <c r="AT27" s="11" t="str">
        <f t="shared" si="29"/>
        <v/>
      </c>
      <c r="AU27" s="11" t="str">
        <f t="shared" si="30"/>
        <v/>
      </c>
      <c r="AV27" s="11" t="str">
        <f t="shared" si="30"/>
        <v/>
      </c>
      <c r="AW27" s="11" t="str">
        <f t="shared" si="30"/>
        <v/>
      </c>
      <c r="AX27" s="11" t="str">
        <f t="shared" si="30"/>
        <v/>
      </c>
      <c r="AY27" s="11" t="str">
        <f t="shared" si="30"/>
        <v/>
      </c>
      <c r="AZ27" s="11" t="str">
        <f t="shared" si="30"/>
        <v/>
      </c>
      <c r="BA27" s="11" t="str">
        <f t="shared" si="30"/>
        <v/>
      </c>
      <c r="BB27" s="11" t="str">
        <f t="shared" si="30"/>
        <v/>
      </c>
      <c r="BC27" s="11" t="str">
        <f t="shared" si="30"/>
        <v/>
      </c>
      <c r="BD27" s="11" t="str">
        <f t="shared" si="30"/>
        <v/>
      </c>
      <c r="BE27" s="11" t="str">
        <f t="shared" si="31"/>
        <v/>
      </c>
      <c r="BF27" s="11" t="str">
        <f t="shared" si="31"/>
        <v/>
      </c>
      <c r="BG27" s="11" t="str">
        <f t="shared" si="31"/>
        <v/>
      </c>
      <c r="BH27" s="11" t="str">
        <f t="shared" si="31"/>
        <v/>
      </c>
      <c r="BI27" s="11" t="str">
        <f t="shared" si="31"/>
        <v/>
      </c>
      <c r="BJ27" s="11" t="str">
        <f t="shared" si="31"/>
        <v/>
      </c>
      <c r="BK27" s="11" t="str">
        <f t="shared" si="31"/>
        <v/>
      </c>
      <c r="BL27" s="11" t="str">
        <f t="shared" si="31"/>
        <v/>
      </c>
      <c r="BM27" s="11" t="str">
        <f t="shared" si="31"/>
        <v/>
      </c>
      <c r="BN27" s="11" t="str">
        <f t="shared" si="31"/>
        <v/>
      </c>
      <c r="BO27" s="11" t="str">
        <f t="shared" si="32"/>
        <v/>
      </c>
      <c r="BP27" s="11" t="str">
        <f t="shared" si="32"/>
        <v/>
      </c>
      <c r="BQ27" s="11" t="str">
        <f t="shared" si="32"/>
        <v/>
      </c>
      <c r="BR27" s="11" t="str">
        <f t="shared" si="32"/>
        <v/>
      </c>
      <c r="BS27" s="11" t="str">
        <f t="shared" si="32"/>
        <v/>
      </c>
      <c r="BT27" s="11" t="str">
        <f t="shared" si="32"/>
        <v/>
      </c>
      <c r="BU27" s="11" t="str">
        <f t="shared" si="32"/>
        <v/>
      </c>
      <c r="BV27" s="11" t="str">
        <f t="shared" si="32"/>
        <v/>
      </c>
      <c r="BW27" s="11" t="str">
        <f t="shared" si="32"/>
        <v/>
      </c>
      <c r="BX27" s="11" t="str">
        <f t="shared" si="32"/>
        <v/>
      </c>
      <c r="BY27" s="11" t="str">
        <f t="shared" si="33"/>
        <v/>
      </c>
      <c r="BZ27" s="11" t="str">
        <f t="shared" si="33"/>
        <v/>
      </c>
      <c r="CA27" s="11" t="str">
        <f t="shared" si="33"/>
        <v/>
      </c>
      <c r="CB27" s="11" t="str">
        <f t="shared" si="33"/>
        <v/>
      </c>
      <c r="CC27" s="11" t="str">
        <f t="shared" si="33"/>
        <v/>
      </c>
      <c r="CD27" s="11" t="str">
        <f t="shared" si="33"/>
        <v/>
      </c>
      <c r="CE27" s="11" t="str">
        <f t="shared" si="33"/>
        <v/>
      </c>
      <c r="CF27" s="11" t="str">
        <f t="shared" si="33"/>
        <v/>
      </c>
      <c r="CG27" s="11" t="str">
        <f t="shared" si="33"/>
        <v/>
      </c>
      <c r="CH27" s="11" t="str">
        <f t="shared" si="33"/>
        <v/>
      </c>
      <c r="CI27" s="11" t="str">
        <f t="shared" si="34"/>
        <v/>
      </c>
      <c r="CJ27" s="11" t="str">
        <f t="shared" si="34"/>
        <v/>
      </c>
      <c r="CK27" s="11" t="str">
        <f t="shared" si="34"/>
        <v/>
      </c>
      <c r="CL27" s="11" t="str">
        <f t="shared" si="34"/>
        <v/>
      </c>
      <c r="CM27" s="11" t="str">
        <f t="shared" si="34"/>
        <v/>
      </c>
      <c r="CN27" s="11" t="str">
        <f t="shared" si="34"/>
        <v/>
      </c>
      <c r="CO27" s="11" t="str">
        <f t="shared" si="34"/>
        <v/>
      </c>
      <c r="CP27" s="11" t="str">
        <f t="shared" si="34"/>
        <v/>
      </c>
      <c r="CQ27" s="11" t="str">
        <f t="shared" si="34"/>
        <v/>
      </c>
      <c r="CR27" s="11" t="str">
        <f t="shared" si="34"/>
        <v/>
      </c>
      <c r="CS27" s="11" t="str">
        <f t="shared" si="35"/>
        <v/>
      </c>
      <c r="CT27" s="11" t="str">
        <f t="shared" si="35"/>
        <v/>
      </c>
      <c r="CU27" s="11" t="str">
        <f t="shared" si="35"/>
        <v/>
      </c>
      <c r="CV27" s="11" t="str">
        <f t="shared" si="35"/>
        <v/>
      </c>
      <c r="CW27" s="11" t="str">
        <f t="shared" si="35"/>
        <v/>
      </c>
      <c r="CX27" s="11" t="str">
        <f t="shared" si="35"/>
        <v/>
      </c>
      <c r="CY27" s="11" t="str">
        <f t="shared" si="35"/>
        <v/>
      </c>
      <c r="CZ27" s="11" t="str">
        <f t="shared" si="35"/>
        <v/>
      </c>
      <c r="DA27" s="11" t="str">
        <f t="shared" si="35"/>
        <v/>
      </c>
      <c r="DB27" s="11" t="str">
        <f t="shared" si="35"/>
        <v/>
      </c>
      <c r="DC27" s="11" t="str">
        <f t="shared" si="36"/>
        <v/>
      </c>
      <c r="DD27" s="11" t="str">
        <f t="shared" si="36"/>
        <v/>
      </c>
      <c r="DE27" s="11" t="str">
        <f t="shared" si="36"/>
        <v/>
      </c>
      <c r="DF27" s="11" t="str">
        <f t="shared" si="36"/>
        <v/>
      </c>
      <c r="DG27" s="11" t="str">
        <f t="shared" si="36"/>
        <v/>
      </c>
      <c r="DH27" s="11" t="str">
        <f t="shared" si="36"/>
        <v/>
      </c>
      <c r="DI27" s="11" t="str">
        <f t="shared" si="36"/>
        <v/>
      </c>
      <c r="DJ27" s="11" t="str">
        <f t="shared" si="36"/>
        <v/>
      </c>
      <c r="DK27" s="11" t="str">
        <f t="shared" si="36"/>
        <v/>
      </c>
      <c r="DL27" s="11" t="str">
        <f t="shared" si="36"/>
        <v/>
      </c>
      <c r="DM27" s="11" t="str">
        <f t="shared" si="37"/>
        <v/>
      </c>
      <c r="DN27" s="11" t="str">
        <f t="shared" si="37"/>
        <v/>
      </c>
      <c r="DO27" s="11" t="str">
        <f t="shared" si="37"/>
        <v/>
      </c>
      <c r="DP27" s="11" t="str">
        <f t="shared" si="37"/>
        <v/>
      </c>
      <c r="DQ27" s="11" t="str">
        <f t="shared" si="37"/>
        <v/>
      </c>
      <c r="DR27" s="11" t="str">
        <f t="shared" si="37"/>
        <v/>
      </c>
      <c r="DS27" s="11" t="str">
        <f t="shared" si="37"/>
        <v/>
      </c>
      <c r="DT27" s="11" t="str">
        <f t="shared" si="37"/>
        <v/>
      </c>
      <c r="DU27" s="11" t="str">
        <f t="shared" si="37"/>
        <v/>
      </c>
      <c r="DV27" s="11" t="str">
        <f t="shared" si="37"/>
        <v/>
      </c>
      <c r="DW27" s="11" t="str">
        <f t="shared" si="38"/>
        <v/>
      </c>
      <c r="DX27" s="11" t="str">
        <f t="shared" si="38"/>
        <v/>
      </c>
      <c r="DY27" s="11" t="str">
        <f t="shared" si="38"/>
        <v/>
      </c>
      <c r="DZ27" s="11" t="str">
        <f t="shared" si="38"/>
        <v/>
      </c>
      <c r="EA27" s="11" t="str">
        <f t="shared" si="38"/>
        <v/>
      </c>
      <c r="EB27" s="11" t="str">
        <f t="shared" si="38"/>
        <v/>
      </c>
      <c r="EC27" s="11" t="str">
        <f t="shared" si="38"/>
        <v/>
      </c>
      <c r="ED27" s="11" t="str">
        <f t="shared" si="38"/>
        <v/>
      </c>
      <c r="EE27" s="11" t="str">
        <f t="shared" si="38"/>
        <v/>
      </c>
      <c r="EF27" s="11" t="str">
        <f t="shared" si="38"/>
        <v/>
      </c>
      <c r="EG27" s="11" t="str">
        <f t="shared" si="38"/>
        <v/>
      </c>
      <c r="EH27" s="11" t="str">
        <f t="shared" si="38"/>
        <v/>
      </c>
    </row>
    <row r="28" spans="1:138" ht="13.5" customHeight="1">
      <c r="A28" s="55"/>
      <c r="B28" s="55"/>
      <c r="C28" s="55"/>
      <c r="D28" s="12" t="s">
        <v>80</v>
      </c>
      <c r="E28" s="10">
        <v>46270</v>
      </c>
      <c r="F28" s="10">
        <v>46276</v>
      </c>
      <c r="G28" s="13" t="str">
        <f t="shared" si="26"/>
        <v/>
      </c>
      <c r="H28" s="13" t="str">
        <f t="shared" si="26"/>
        <v/>
      </c>
      <c r="I28" s="13" t="str">
        <f t="shared" si="26"/>
        <v/>
      </c>
      <c r="J28" s="13" t="str">
        <f t="shared" si="26"/>
        <v/>
      </c>
      <c r="K28" s="13" t="str">
        <f t="shared" si="26"/>
        <v/>
      </c>
      <c r="L28" s="13" t="str">
        <f t="shared" si="26"/>
        <v/>
      </c>
      <c r="M28" s="13" t="str">
        <f t="shared" si="26"/>
        <v/>
      </c>
      <c r="N28" s="13" t="str">
        <f t="shared" si="26"/>
        <v/>
      </c>
      <c r="O28" s="13" t="str">
        <f t="shared" si="26"/>
        <v/>
      </c>
      <c r="P28" s="13" t="str">
        <f t="shared" si="26"/>
        <v/>
      </c>
      <c r="Q28" s="13" t="str">
        <f t="shared" si="27"/>
        <v/>
      </c>
      <c r="R28" s="13" t="str">
        <f t="shared" si="27"/>
        <v/>
      </c>
      <c r="S28" s="13" t="str">
        <f t="shared" si="27"/>
        <v/>
      </c>
      <c r="T28" s="13" t="str">
        <f t="shared" si="27"/>
        <v/>
      </c>
      <c r="U28" s="13" t="str">
        <f t="shared" si="27"/>
        <v/>
      </c>
      <c r="V28" s="13" t="str">
        <f t="shared" si="27"/>
        <v/>
      </c>
      <c r="W28" s="13" t="str">
        <f t="shared" si="27"/>
        <v/>
      </c>
      <c r="X28" s="13" t="str">
        <f t="shared" si="27"/>
        <v/>
      </c>
      <c r="Y28" s="13" t="str">
        <f t="shared" si="27"/>
        <v/>
      </c>
      <c r="Z28" s="13" t="str">
        <f t="shared" si="27"/>
        <v/>
      </c>
      <c r="AA28" s="13" t="str">
        <f t="shared" si="28"/>
        <v/>
      </c>
      <c r="AB28" s="13" t="str">
        <f t="shared" si="28"/>
        <v/>
      </c>
      <c r="AC28" s="13" t="str">
        <f t="shared" si="28"/>
        <v/>
      </c>
      <c r="AD28" s="13" t="str">
        <f t="shared" si="28"/>
        <v/>
      </c>
      <c r="AE28" s="13" t="str">
        <f t="shared" si="28"/>
        <v/>
      </c>
      <c r="AF28" s="13" t="str">
        <f t="shared" si="28"/>
        <v/>
      </c>
      <c r="AG28" s="13" t="str">
        <f t="shared" si="28"/>
        <v/>
      </c>
      <c r="AH28" s="13" t="str">
        <f t="shared" si="28"/>
        <v/>
      </c>
      <c r="AI28" s="13" t="str">
        <f t="shared" si="28"/>
        <v/>
      </c>
      <c r="AJ28" s="13" t="str">
        <f t="shared" si="28"/>
        <v/>
      </c>
      <c r="AK28" s="13" t="str">
        <f t="shared" si="29"/>
        <v/>
      </c>
      <c r="AL28" s="13" t="str">
        <f t="shared" si="29"/>
        <v/>
      </c>
      <c r="AM28" s="13" t="str">
        <f t="shared" si="29"/>
        <v/>
      </c>
      <c r="AN28" s="13" t="str">
        <f t="shared" si="29"/>
        <v/>
      </c>
      <c r="AO28" s="13" t="str">
        <f t="shared" si="29"/>
        <v/>
      </c>
      <c r="AP28" s="13" t="str">
        <f t="shared" si="29"/>
        <v>▪</v>
      </c>
      <c r="AQ28" s="13" t="str">
        <f t="shared" si="29"/>
        <v>▪</v>
      </c>
      <c r="AR28" s="13" t="str">
        <f t="shared" si="29"/>
        <v>▪</v>
      </c>
      <c r="AS28" s="13" t="str">
        <f t="shared" si="29"/>
        <v>▪</v>
      </c>
      <c r="AT28" s="13" t="str">
        <f t="shared" si="29"/>
        <v>▪</v>
      </c>
      <c r="AU28" s="13" t="str">
        <f t="shared" si="30"/>
        <v>▪</v>
      </c>
      <c r="AV28" s="13" t="str">
        <f t="shared" si="30"/>
        <v>▪</v>
      </c>
      <c r="AW28" s="13" t="str">
        <f t="shared" si="30"/>
        <v/>
      </c>
      <c r="AX28" s="13" t="str">
        <f t="shared" si="30"/>
        <v/>
      </c>
      <c r="AY28" s="13" t="str">
        <f t="shared" si="30"/>
        <v/>
      </c>
      <c r="AZ28" s="13" t="str">
        <f t="shared" si="30"/>
        <v/>
      </c>
      <c r="BA28" s="13" t="str">
        <f t="shared" si="30"/>
        <v/>
      </c>
      <c r="BB28" s="13" t="str">
        <f t="shared" si="30"/>
        <v/>
      </c>
      <c r="BC28" s="13" t="str">
        <f t="shared" si="30"/>
        <v/>
      </c>
      <c r="BD28" s="13" t="str">
        <f t="shared" si="30"/>
        <v/>
      </c>
      <c r="BE28" s="13" t="str">
        <f t="shared" si="31"/>
        <v/>
      </c>
      <c r="BF28" s="13" t="str">
        <f t="shared" si="31"/>
        <v/>
      </c>
      <c r="BG28" s="13" t="str">
        <f t="shared" si="31"/>
        <v/>
      </c>
      <c r="BH28" s="13" t="str">
        <f t="shared" si="31"/>
        <v/>
      </c>
      <c r="BI28" s="13" t="str">
        <f t="shared" si="31"/>
        <v/>
      </c>
      <c r="BJ28" s="13" t="str">
        <f t="shared" si="31"/>
        <v/>
      </c>
      <c r="BK28" s="13" t="str">
        <f t="shared" si="31"/>
        <v/>
      </c>
      <c r="BL28" s="13" t="str">
        <f t="shared" si="31"/>
        <v/>
      </c>
      <c r="BM28" s="13" t="str">
        <f t="shared" si="31"/>
        <v/>
      </c>
      <c r="BN28" s="13" t="str">
        <f t="shared" si="31"/>
        <v/>
      </c>
      <c r="BO28" s="13" t="str">
        <f t="shared" si="32"/>
        <v/>
      </c>
      <c r="BP28" s="13" t="str">
        <f t="shared" si="32"/>
        <v/>
      </c>
      <c r="BQ28" s="13" t="str">
        <f t="shared" si="32"/>
        <v/>
      </c>
      <c r="BR28" s="13" t="str">
        <f t="shared" si="32"/>
        <v/>
      </c>
      <c r="BS28" s="13" t="str">
        <f t="shared" si="32"/>
        <v/>
      </c>
      <c r="BT28" s="13" t="str">
        <f t="shared" si="32"/>
        <v/>
      </c>
      <c r="BU28" s="13" t="str">
        <f t="shared" si="32"/>
        <v/>
      </c>
      <c r="BV28" s="13" t="str">
        <f t="shared" si="32"/>
        <v/>
      </c>
      <c r="BW28" s="13" t="str">
        <f t="shared" si="32"/>
        <v/>
      </c>
      <c r="BX28" s="13" t="str">
        <f t="shared" si="32"/>
        <v/>
      </c>
      <c r="BY28" s="13" t="str">
        <f t="shared" si="33"/>
        <v/>
      </c>
      <c r="BZ28" s="13" t="str">
        <f t="shared" si="33"/>
        <v/>
      </c>
      <c r="CA28" s="13" t="str">
        <f t="shared" si="33"/>
        <v/>
      </c>
      <c r="CB28" s="13" t="str">
        <f t="shared" si="33"/>
        <v/>
      </c>
      <c r="CC28" s="13" t="str">
        <f t="shared" si="33"/>
        <v/>
      </c>
      <c r="CD28" s="13" t="str">
        <f t="shared" si="33"/>
        <v/>
      </c>
      <c r="CE28" s="13" t="str">
        <f t="shared" si="33"/>
        <v/>
      </c>
      <c r="CF28" s="13" t="str">
        <f t="shared" si="33"/>
        <v/>
      </c>
      <c r="CG28" s="13" t="str">
        <f t="shared" si="33"/>
        <v/>
      </c>
      <c r="CH28" s="13" t="str">
        <f t="shared" si="33"/>
        <v/>
      </c>
      <c r="CI28" s="13" t="str">
        <f t="shared" si="34"/>
        <v/>
      </c>
      <c r="CJ28" s="13" t="str">
        <f t="shared" si="34"/>
        <v/>
      </c>
      <c r="CK28" s="13" t="str">
        <f t="shared" si="34"/>
        <v/>
      </c>
      <c r="CL28" s="13" t="str">
        <f t="shared" si="34"/>
        <v/>
      </c>
      <c r="CM28" s="13" t="str">
        <f t="shared" si="34"/>
        <v/>
      </c>
      <c r="CN28" s="13" t="str">
        <f t="shared" si="34"/>
        <v/>
      </c>
      <c r="CO28" s="13" t="str">
        <f t="shared" si="34"/>
        <v/>
      </c>
      <c r="CP28" s="13" t="str">
        <f t="shared" si="34"/>
        <v/>
      </c>
      <c r="CQ28" s="13" t="str">
        <f t="shared" si="34"/>
        <v/>
      </c>
      <c r="CR28" s="13" t="str">
        <f t="shared" si="34"/>
        <v/>
      </c>
      <c r="CS28" s="13" t="str">
        <f t="shared" si="35"/>
        <v/>
      </c>
      <c r="CT28" s="13" t="str">
        <f t="shared" si="35"/>
        <v/>
      </c>
      <c r="CU28" s="13" t="str">
        <f t="shared" si="35"/>
        <v/>
      </c>
      <c r="CV28" s="13" t="str">
        <f t="shared" si="35"/>
        <v/>
      </c>
      <c r="CW28" s="13" t="str">
        <f t="shared" si="35"/>
        <v/>
      </c>
      <c r="CX28" s="13" t="str">
        <f t="shared" si="35"/>
        <v/>
      </c>
      <c r="CY28" s="13" t="str">
        <f t="shared" si="35"/>
        <v/>
      </c>
      <c r="CZ28" s="13" t="str">
        <f t="shared" si="35"/>
        <v/>
      </c>
      <c r="DA28" s="13" t="str">
        <f t="shared" si="35"/>
        <v/>
      </c>
      <c r="DB28" s="13" t="str">
        <f t="shared" si="35"/>
        <v/>
      </c>
      <c r="DC28" s="13" t="str">
        <f t="shared" si="36"/>
        <v/>
      </c>
      <c r="DD28" s="13" t="str">
        <f t="shared" si="36"/>
        <v/>
      </c>
      <c r="DE28" s="13" t="str">
        <f t="shared" si="36"/>
        <v/>
      </c>
      <c r="DF28" s="13" t="str">
        <f t="shared" si="36"/>
        <v/>
      </c>
      <c r="DG28" s="13" t="str">
        <f t="shared" si="36"/>
        <v/>
      </c>
      <c r="DH28" s="13" t="str">
        <f t="shared" si="36"/>
        <v/>
      </c>
      <c r="DI28" s="13" t="str">
        <f t="shared" si="36"/>
        <v/>
      </c>
      <c r="DJ28" s="13" t="str">
        <f t="shared" si="36"/>
        <v/>
      </c>
      <c r="DK28" s="13" t="str">
        <f t="shared" si="36"/>
        <v/>
      </c>
      <c r="DL28" s="13" t="str">
        <f t="shared" si="36"/>
        <v/>
      </c>
      <c r="DM28" s="13" t="str">
        <f t="shared" si="37"/>
        <v/>
      </c>
      <c r="DN28" s="13" t="str">
        <f t="shared" si="37"/>
        <v/>
      </c>
      <c r="DO28" s="13" t="str">
        <f t="shared" si="37"/>
        <v/>
      </c>
      <c r="DP28" s="13" t="str">
        <f t="shared" si="37"/>
        <v/>
      </c>
      <c r="DQ28" s="13" t="str">
        <f t="shared" si="37"/>
        <v/>
      </c>
      <c r="DR28" s="13" t="str">
        <f t="shared" si="37"/>
        <v/>
      </c>
      <c r="DS28" s="13" t="str">
        <f t="shared" si="37"/>
        <v/>
      </c>
      <c r="DT28" s="13" t="str">
        <f t="shared" si="37"/>
        <v/>
      </c>
      <c r="DU28" s="13" t="str">
        <f t="shared" si="37"/>
        <v/>
      </c>
      <c r="DV28" s="13" t="str">
        <f t="shared" si="37"/>
        <v/>
      </c>
      <c r="DW28" s="13" t="str">
        <f t="shared" si="38"/>
        <v/>
      </c>
      <c r="DX28" s="13" t="str">
        <f t="shared" si="38"/>
        <v/>
      </c>
      <c r="DY28" s="13" t="str">
        <f t="shared" si="38"/>
        <v/>
      </c>
      <c r="DZ28" s="13" t="str">
        <f t="shared" si="38"/>
        <v/>
      </c>
      <c r="EA28" s="13" t="str">
        <f t="shared" si="38"/>
        <v/>
      </c>
      <c r="EB28" s="13" t="str">
        <f t="shared" si="38"/>
        <v/>
      </c>
      <c r="EC28" s="13" t="str">
        <f t="shared" si="38"/>
        <v/>
      </c>
      <c r="ED28" s="13" t="str">
        <f t="shared" si="38"/>
        <v/>
      </c>
      <c r="EE28" s="13" t="str">
        <f t="shared" si="38"/>
        <v/>
      </c>
      <c r="EF28" s="13" t="str">
        <f t="shared" si="38"/>
        <v/>
      </c>
      <c r="EG28" s="13" t="str">
        <f t="shared" si="38"/>
        <v/>
      </c>
      <c r="EH28" s="13" t="str">
        <f t="shared" si="38"/>
        <v/>
      </c>
    </row>
    <row r="29" spans="1:138" ht="13.5" customHeight="1">
      <c r="A29" s="55" t="s">
        <v>108</v>
      </c>
      <c r="B29" s="56" t="s">
        <v>109</v>
      </c>
      <c r="C29" s="57" t="s">
        <v>86</v>
      </c>
      <c r="D29" s="9" t="s">
        <v>79</v>
      </c>
      <c r="E29" s="10">
        <v>46272</v>
      </c>
      <c r="F29" s="10">
        <v>46274</v>
      </c>
      <c r="G29" s="11" t="str">
        <f t="shared" si="26"/>
        <v/>
      </c>
      <c r="H29" s="11" t="str">
        <f t="shared" si="26"/>
        <v/>
      </c>
      <c r="I29" s="11" t="str">
        <f t="shared" si="26"/>
        <v/>
      </c>
      <c r="J29" s="11" t="str">
        <f t="shared" si="26"/>
        <v/>
      </c>
      <c r="K29" s="11" t="str">
        <f t="shared" si="26"/>
        <v/>
      </c>
      <c r="L29" s="11" t="str">
        <f t="shared" si="26"/>
        <v/>
      </c>
      <c r="M29" s="11" t="str">
        <f t="shared" si="26"/>
        <v/>
      </c>
      <c r="N29" s="11" t="str">
        <f t="shared" si="26"/>
        <v/>
      </c>
      <c r="O29" s="11" t="str">
        <f t="shared" si="26"/>
        <v/>
      </c>
      <c r="P29" s="11" t="str">
        <f t="shared" si="26"/>
        <v/>
      </c>
      <c r="Q29" s="11" t="str">
        <f t="shared" si="27"/>
        <v/>
      </c>
      <c r="R29" s="11" t="str">
        <f t="shared" si="27"/>
        <v/>
      </c>
      <c r="S29" s="11" t="str">
        <f t="shared" si="27"/>
        <v/>
      </c>
      <c r="T29" s="11" t="str">
        <f t="shared" si="27"/>
        <v/>
      </c>
      <c r="U29" s="11" t="str">
        <f t="shared" si="27"/>
        <v/>
      </c>
      <c r="V29" s="11" t="str">
        <f t="shared" si="27"/>
        <v/>
      </c>
      <c r="W29" s="11" t="str">
        <f t="shared" si="27"/>
        <v/>
      </c>
      <c r="X29" s="11" t="str">
        <f t="shared" si="27"/>
        <v/>
      </c>
      <c r="Y29" s="11" t="str">
        <f t="shared" si="27"/>
        <v/>
      </c>
      <c r="Z29" s="11" t="str">
        <f t="shared" si="27"/>
        <v/>
      </c>
      <c r="AA29" s="11" t="str">
        <f t="shared" si="28"/>
        <v/>
      </c>
      <c r="AB29" s="11" t="str">
        <f t="shared" si="28"/>
        <v/>
      </c>
      <c r="AC29" s="11" t="str">
        <f t="shared" si="28"/>
        <v/>
      </c>
      <c r="AD29" s="11" t="str">
        <f t="shared" si="28"/>
        <v/>
      </c>
      <c r="AE29" s="11" t="str">
        <f t="shared" si="28"/>
        <v/>
      </c>
      <c r="AF29" s="11" t="str">
        <f t="shared" si="28"/>
        <v/>
      </c>
      <c r="AG29" s="11" t="str">
        <f t="shared" si="28"/>
        <v/>
      </c>
      <c r="AH29" s="11" t="str">
        <f t="shared" si="28"/>
        <v/>
      </c>
      <c r="AI29" s="11" t="str">
        <f t="shared" si="28"/>
        <v/>
      </c>
      <c r="AJ29" s="11" t="str">
        <f t="shared" si="28"/>
        <v/>
      </c>
      <c r="AK29" s="11" t="str">
        <f t="shared" si="29"/>
        <v/>
      </c>
      <c r="AL29" s="11" t="str">
        <f t="shared" si="29"/>
        <v/>
      </c>
      <c r="AM29" s="11" t="str">
        <f t="shared" si="29"/>
        <v/>
      </c>
      <c r="AN29" s="11" t="str">
        <f t="shared" si="29"/>
        <v/>
      </c>
      <c r="AO29" s="11" t="str">
        <f t="shared" si="29"/>
        <v/>
      </c>
      <c r="AP29" s="11" t="str">
        <f t="shared" si="29"/>
        <v/>
      </c>
      <c r="AQ29" s="11" t="str">
        <f t="shared" si="29"/>
        <v/>
      </c>
      <c r="AR29" s="11" t="str">
        <f t="shared" si="29"/>
        <v>▪</v>
      </c>
      <c r="AS29" s="11" t="str">
        <f t="shared" si="29"/>
        <v>▪</v>
      </c>
      <c r="AT29" s="11" t="str">
        <f t="shared" si="29"/>
        <v>▪</v>
      </c>
      <c r="AU29" s="11" t="str">
        <f t="shared" si="30"/>
        <v/>
      </c>
      <c r="AV29" s="11" t="str">
        <f t="shared" si="30"/>
        <v/>
      </c>
      <c r="AW29" s="11" t="str">
        <f t="shared" si="30"/>
        <v/>
      </c>
      <c r="AX29" s="11" t="str">
        <f t="shared" si="30"/>
        <v/>
      </c>
      <c r="AY29" s="11" t="str">
        <f t="shared" si="30"/>
        <v/>
      </c>
      <c r="AZ29" s="11" t="str">
        <f t="shared" si="30"/>
        <v/>
      </c>
      <c r="BA29" s="11" t="str">
        <f t="shared" si="30"/>
        <v/>
      </c>
      <c r="BB29" s="11" t="str">
        <f t="shared" si="30"/>
        <v/>
      </c>
      <c r="BC29" s="11" t="str">
        <f t="shared" si="30"/>
        <v/>
      </c>
      <c r="BD29" s="11" t="str">
        <f t="shared" si="30"/>
        <v/>
      </c>
      <c r="BE29" s="11" t="str">
        <f t="shared" si="31"/>
        <v/>
      </c>
      <c r="BF29" s="11" t="str">
        <f t="shared" si="31"/>
        <v/>
      </c>
      <c r="BG29" s="11" t="str">
        <f t="shared" si="31"/>
        <v/>
      </c>
      <c r="BH29" s="11" t="str">
        <f t="shared" si="31"/>
        <v/>
      </c>
      <c r="BI29" s="11" t="str">
        <f t="shared" si="31"/>
        <v/>
      </c>
      <c r="BJ29" s="11" t="str">
        <f t="shared" si="31"/>
        <v/>
      </c>
      <c r="BK29" s="11" t="str">
        <f t="shared" si="31"/>
        <v/>
      </c>
      <c r="BL29" s="11" t="str">
        <f t="shared" si="31"/>
        <v/>
      </c>
      <c r="BM29" s="11" t="str">
        <f t="shared" si="31"/>
        <v/>
      </c>
      <c r="BN29" s="11" t="str">
        <f t="shared" si="31"/>
        <v/>
      </c>
      <c r="BO29" s="11" t="str">
        <f t="shared" si="32"/>
        <v/>
      </c>
      <c r="BP29" s="11" t="str">
        <f t="shared" si="32"/>
        <v/>
      </c>
      <c r="BQ29" s="11" t="str">
        <f t="shared" si="32"/>
        <v/>
      </c>
      <c r="BR29" s="11" t="str">
        <f t="shared" si="32"/>
        <v/>
      </c>
      <c r="BS29" s="11" t="str">
        <f t="shared" si="32"/>
        <v/>
      </c>
      <c r="BT29" s="11" t="str">
        <f t="shared" si="32"/>
        <v/>
      </c>
      <c r="BU29" s="11" t="str">
        <f t="shared" si="32"/>
        <v/>
      </c>
      <c r="BV29" s="11" t="str">
        <f t="shared" si="32"/>
        <v/>
      </c>
      <c r="BW29" s="11" t="str">
        <f t="shared" si="32"/>
        <v/>
      </c>
      <c r="BX29" s="11" t="str">
        <f t="shared" si="32"/>
        <v/>
      </c>
      <c r="BY29" s="11" t="str">
        <f t="shared" si="33"/>
        <v/>
      </c>
      <c r="BZ29" s="11" t="str">
        <f t="shared" si="33"/>
        <v/>
      </c>
      <c r="CA29" s="11" t="str">
        <f t="shared" si="33"/>
        <v/>
      </c>
      <c r="CB29" s="11" t="str">
        <f t="shared" si="33"/>
        <v/>
      </c>
      <c r="CC29" s="11" t="str">
        <f t="shared" si="33"/>
        <v/>
      </c>
      <c r="CD29" s="11" t="str">
        <f t="shared" si="33"/>
        <v/>
      </c>
      <c r="CE29" s="11" t="str">
        <f t="shared" si="33"/>
        <v/>
      </c>
      <c r="CF29" s="11" t="str">
        <f t="shared" si="33"/>
        <v/>
      </c>
      <c r="CG29" s="11" t="str">
        <f t="shared" si="33"/>
        <v/>
      </c>
      <c r="CH29" s="11" t="str">
        <f t="shared" si="33"/>
        <v/>
      </c>
      <c r="CI29" s="11" t="str">
        <f t="shared" si="34"/>
        <v/>
      </c>
      <c r="CJ29" s="11" t="str">
        <f t="shared" si="34"/>
        <v/>
      </c>
      <c r="CK29" s="11" t="str">
        <f t="shared" si="34"/>
        <v/>
      </c>
      <c r="CL29" s="11" t="str">
        <f t="shared" si="34"/>
        <v/>
      </c>
      <c r="CM29" s="11" t="str">
        <f t="shared" si="34"/>
        <v/>
      </c>
      <c r="CN29" s="11" t="str">
        <f t="shared" si="34"/>
        <v/>
      </c>
      <c r="CO29" s="11" t="str">
        <f t="shared" si="34"/>
        <v/>
      </c>
      <c r="CP29" s="11" t="str">
        <f t="shared" si="34"/>
        <v/>
      </c>
      <c r="CQ29" s="11" t="str">
        <f t="shared" si="34"/>
        <v/>
      </c>
      <c r="CR29" s="11" t="str">
        <f t="shared" si="34"/>
        <v/>
      </c>
      <c r="CS29" s="11" t="str">
        <f t="shared" si="35"/>
        <v/>
      </c>
      <c r="CT29" s="11" t="str">
        <f t="shared" si="35"/>
        <v/>
      </c>
      <c r="CU29" s="11" t="str">
        <f t="shared" si="35"/>
        <v/>
      </c>
      <c r="CV29" s="11" t="str">
        <f t="shared" si="35"/>
        <v/>
      </c>
      <c r="CW29" s="11" t="str">
        <f t="shared" si="35"/>
        <v/>
      </c>
      <c r="CX29" s="11" t="str">
        <f t="shared" si="35"/>
        <v/>
      </c>
      <c r="CY29" s="11" t="str">
        <f t="shared" si="35"/>
        <v/>
      </c>
      <c r="CZ29" s="11" t="str">
        <f t="shared" si="35"/>
        <v/>
      </c>
      <c r="DA29" s="11" t="str">
        <f t="shared" si="35"/>
        <v/>
      </c>
      <c r="DB29" s="11" t="str">
        <f t="shared" si="35"/>
        <v/>
      </c>
      <c r="DC29" s="11" t="str">
        <f t="shared" si="36"/>
        <v/>
      </c>
      <c r="DD29" s="11" t="str">
        <f t="shared" si="36"/>
        <v/>
      </c>
      <c r="DE29" s="11" t="str">
        <f t="shared" si="36"/>
        <v/>
      </c>
      <c r="DF29" s="11" t="str">
        <f t="shared" si="36"/>
        <v/>
      </c>
      <c r="DG29" s="11" t="str">
        <f t="shared" si="36"/>
        <v/>
      </c>
      <c r="DH29" s="11" t="str">
        <f t="shared" si="36"/>
        <v/>
      </c>
      <c r="DI29" s="11" t="str">
        <f t="shared" si="36"/>
        <v/>
      </c>
      <c r="DJ29" s="11" t="str">
        <f t="shared" si="36"/>
        <v/>
      </c>
      <c r="DK29" s="11" t="str">
        <f t="shared" si="36"/>
        <v/>
      </c>
      <c r="DL29" s="11" t="str">
        <f t="shared" si="36"/>
        <v/>
      </c>
      <c r="DM29" s="11" t="str">
        <f t="shared" si="37"/>
        <v/>
      </c>
      <c r="DN29" s="11" t="str">
        <f t="shared" si="37"/>
        <v/>
      </c>
      <c r="DO29" s="11" t="str">
        <f t="shared" si="37"/>
        <v/>
      </c>
      <c r="DP29" s="11" t="str">
        <f t="shared" si="37"/>
        <v/>
      </c>
      <c r="DQ29" s="11" t="str">
        <f t="shared" si="37"/>
        <v/>
      </c>
      <c r="DR29" s="11" t="str">
        <f t="shared" si="37"/>
        <v/>
      </c>
      <c r="DS29" s="11" t="str">
        <f t="shared" si="37"/>
        <v/>
      </c>
      <c r="DT29" s="11" t="str">
        <f t="shared" si="37"/>
        <v/>
      </c>
      <c r="DU29" s="11" t="str">
        <f t="shared" si="37"/>
        <v/>
      </c>
      <c r="DV29" s="11" t="str">
        <f t="shared" si="37"/>
        <v/>
      </c>
      <c r="DW29" s="11" t="str">
        <f t="shared" si="38"/>
        <v/>
      </c>
      <c r="DX29" s="11" t="str">
        <f t="shared" si="38"/>
        <v/>
      </c>
      <c r="DY29" s="11" t="str">
        <f t="shared" si="38"/>
        <v/>
      </c>
      <c r="DZ29" s="11" t="str">
        <f t="shared" si="38"/>
        <v/>
      </c>
      <c r="EA29" s="11" t="str">
        <f t="shared" si="38"/>
        <v/>
      </c>
      <c r="EB29" s="11" t="str">
        <f t="shared" si="38"/>
        <v/>
      </c>
      <c r="EC29" s="11" t="str">
        <f t="shared" si="38"/>
        <v/>
      </c>
      <c r="ED29" s="11" t="str">
        <f t="shared" si="38"/>
        <v/>
      </c>
      <c r="EE29" s="11" t="str">
        <f t="shared" si="38"/>
        <v/>
      </c>
      <c r="EF29" s="11" t="str">
        <f t="shared" si="38"/>
        <v/>
      </c>
      <c r="EG29" s="11" t="str">
        <f t="shared" si="38"/>
        <v/>
      </c>
      <c r="EH29" s="11" t="str">
        <f t="shared" si="38"/>
        <v/>
      </c>
    </row>
    <row r="30" spans="1:138" ht="13.5" customHeight="1">
      <c r="A30" s="55"/>
      <c r="B30" s="55"/>
      <c r="C30" s="55"/>
      <c r="D30" s="12" t="s">
        <v>80</v>
      </c>
      <c r="E30" s="10"/>
      <c r="F30" s="10"/>
      <c r="G30" s="13" t="str">
        <f t="shared" si="26"/>
        <v/>
      </c>
      <c r="H30" s="13" t="str">
        <f t="shared" si="26"/>
        <v/>
      </c>
      <c r="I30" s="13" t="str">
        <f t="shared" si="26"/>
        <v/>
      </c>
      <c r="J30" s="13" t="str">
        <f t="shared" si="26"/>
        <v/>
      </c>
      <c r="K30" s="13" t="str">
        <f t="shared" si="26"/>
        <v/>
      </c>
      <c r="L30" s="13" t="str">
        <f t="shared" si="26"/>
        <v/>
      </c>
      <c r="M30" s="13" t="str">
        <f t="shared" si="26"/>
        <v/>
      </c>
      <c r="N30" s="13" t="str">
        <f t="shared" si="26"/>
        <v/>
      </c>
      <c r="O30" s="13" t="str">
        <f t="shared" si="26"/>
        <v/>
      </c>
      <c r="P30" s="13" t="str">
        <f t="shared" si="26"/>
        <v/>
      </c>
      <c r="Q30" s="13" t="str">
        <f t="shared" si="27"/>
        <v/>
      </c>
      <c r="R30" s="13" t="str">
        <f t="shared" si="27"/>
        <v/>
      </c>
      <c r="S30" s="13" t="str">
        <f t="shared" si="27"/>
        <v/>
      </c>
      <c r="T30" s="13" t="str">
        <f t="shared" si="27"/>
        <v/>
      </c>
      <c r="U30" s="13" t="str">
        <f t="shared" si="27"/>
        <v/>
      </c>
      <c r="V30" s="13" t="str">
        <f t="shared" si="27"/>
        <v/>
      </c>
      <c r="W30" s="13" t="str">
        <f t="shared" si="27"/>
        <v/>
      </c>
      <c r="X30" s="13" t="str">
        <f t="shared" si="27"/>
        <v/>
      </c>
      <c r="Y30" s="13" t="str">
        <f t="shared" si="27"/>
        <v/>
      </c>
      <c r="Z30" s="13" t="str">
        <f t="shared" si="27"/>
        <v/>
      </c>
      <c r="AA30" s="13" t="str">
        <f t="shared" si="28"/>
        <v/>
      </c>
      <c r="AB30" s="13" t="str">
        <f t="shared" si="28"/>
        <v/>
      </c>
      <c r="AC30" s="13" t="str">
        <f t="shared" si="28"/>
        <v/>
      </c>
      <c r="AD30" s="13" t="str">
        <f t="shared" si="28"/>
        <v/>
      </c>
      <c r="AE30" s="13" t="str">
        <f t="shared" si="28"/>
        <v/>
      </c>
      <c r="AF30" s="13" t="str">
        <f t="shared" si="28"/>
        <v/>
      </c>
      <c r="AG30" s="13" t="str">
        <f t="shared" si="28"/>
        <v/>
      </c>
      <c r="AH30" s="13" t="str">
        <f t="shared" si="28"/>
        <v/>
      </c>
      <c r="AI30" s="13" t="str">
        <f t="shared" si="28"/>
        <v/>
      </c>
      <c r="AJ30" s="13" t="str">
        <f t="shared" si="28"/>
        <v/>
      </c>
      <c r="AK30" s="13" t="str">
        <f t="shared" si="29"/>
        <v/>
      </c>
      <c r="AL30" s="13" t="str">
        <f t="shared" si="29"/>
        <v/>
      </c>
      <c r="AM30" s="13" t="str">
        <f t="shared" si="29"/>
        <v/>
      </c>
      <c r="AN30" s="13" t="str">
        <f t="shared" si="29"/>
        <v/>
      </c>
      <c r="AO30" s="13" t="str">
        <f t="shared" si="29"/>
        <v/>
      </c>
      <c r="AP30" s="13" t="str">
        <f t="shared" si="29"/>
        <v/>
      </c>
      <c r="AQ30" s="13" t="str">
        <f t="shared" si="29"/>
        <v/>
      </c>
      <c r="AR30" s="13" t="str">
        <f t="shared" si="29"/>
        <v/>
      </c>
      <c r="AS30" s="13" t="str">
        <f t="shared" si="29"/>
        <v/>
      </c>
      <c r="AT30" s="13" t="str">
        <f t="shared" si="29"/>
        <v/>
      </c>
      <c r="AU30" s="13" t="str">
        <f t="shared" si="30"/>
        <v/>
      </c>
      <c r="AV30" s="13" t="str">
        <f t="shared" si="30"/>
        <v/>
      </c>
      <c r="AW30" s="13" t="str">
        <f t="shared" si="30"/>
        <v/>
      </c>
      <c r="AX30" s="13" t="str">
        <f t="shared" si="30"/>
        <v/>
      </c>
      <c r="AY30" s="13" t="str">
        <f t="shared" si="30"/>
        <v/>
      </c>
      <c r="AZ30" s="13" t="str">
        <f t="shared" si="30"/>
        <v/>
      </c>
      <c r="BA30" s="13" t="str">
        <f t="shared" si="30"/>
        <v/>
      </c>
      <c r="BB30" s="13" t="str">
        <f t="shared" si="30"/>
        <v/>
      </c>
      <c r="BC30" s="13" t="str">
        <f t="shared" si="30"/>
        <v/>
      </c>
      <c r="BD30" s="13" t="str">
        <f t="shared" si="30"/>
        <v/>
      </c>
      <c r="BE30" s="13" t="str">
        <f t="shared" si="31"/>
        <v/>
      </c>
      <c r="BF30" s="13" t="str">
        <f t="shared" si="31"/>
        <v/>
      </c>
      <c r="BG30" s="13" t="str">
        <f t="shared" si="31"/>
        <v/>
      </c>
      <c r="BH30" s="13" t="str">
        <f t="shared" si="31"/>
        <v/>
      </c>
      <c r="BI30" s="13" t="str">
        <f t="shared" si="31"/>
        <v/>
      </c>
      <c r="BJ30" s="13" t="str">
        <f t="shared" si="31"/>
        <v/>
      </c>
      <c r="BK30" s="13" t="str">
        <f t="shared" si="31"/>
        <v/>
      </c>
      <c r="BL30" s="13" t="str">
        <f t="shared" si="31"/>
        <v/>
      </c>
      <c r="BM30" s="13" t="str">
        <f t="shared" si="31"/>
        <v/>
      </c>
      <c r="BN30" s="13" t="str">
        <f t="shared" si="31"/>
        <v/>
      </c>
      <c r="BO30" s="13" t="str">
        <f t="shared" si="32"/>
        <v/>
      </c>
      <c r="BP30" s="13" t="str">
        <f t="shared" si="32"/>
        <v/>
      </c>
      <c r="BQ30" s="13" t="str">
        <f t="shared" si="32"/>
        <v/>
      </c>
      <c r="BR30" s="13" t="str">
        <f t="shared" si="32"/>
        <v/>
      </c>
      <c r="BS30" s="13" t="str">
        <f t="shared" si="32"/>
        <v/>
      </c>
      <c r="BT30" s="13" t="str">
        <f t="shared" si="32"/>
        <v/>
      </c>
      <c r="BU30" s="13" t="str">
        <f t="shared" si="32"/>
        <v/>
      </c>
      <c r="BV30" s="13" t="str">
        <f t="shared" si="32"/>
        <v/>
      </c>
      <c r="BW30" s="13" t="str">
        <f t="shared" si="32"/>
        <v/>
      </c>
      <c r="BX30" s="13" t="str">
        <f t="shared" si="32"/>
        <v/>
      </c>
      <c r="BY30" s="13" t="str">
        <f t="shared" si="33"/>
        <v/>
      </c>
      <c r="BZ30" s="13" t="str">
        <f t="shared" si="33"/>
        <v/>
      </c>
      <c r="CA30" s="13" t="str">
        <f t="shared" si="33"/>
        <v/>
      </c>
      <c r="CB30" s="13" t="str">
        <f t="shared" si="33"/>
        <v/>
      </c>
      <c r="CC30" s="13" t="str">
        <f t="shared" si="33"/>
        <v/>
      </c>
      <c r="CD30" s="13" t="str">
        <f t="shared" si="33"/>
        <v/>
      </c>
      <c r="CE30" s="13" t="str">
        <f t="shared" si="33"/>
        <v/>
      </c>
      <c r="CF30" s="13" t="str">
        <f t="shared" si="33"/>
        <v/>
      </c>
      <c r="CG30" s="13" t="str">
        <f t="shared" si="33"/>
        <v/>
      </c>
      <c r="CH30" s="13" t="str">
        <f t="shared" si="33"/>
        <v/>
      </c>
      <c r="CI30" s="13" t="str">
        <f t="shared" si="34"/>
        <v/>
      </c>
      <c r="CJ30" s="13" t="str">
        <f t="shared" si="34"/>
        <v/>
      </c>
      <c r="CK30" s="13" t="str">
        <f t="shared" si="34"/>
        <v/>
      </c>
      <c r="CL30" s="13" t="str">
        <f t="shared" si="34"/>
        <v/>
      </c>
      <c r="CM30" s="13" t="str">
        <f t="shared" si="34"/>
        <v/>
      </c>
      <c r="CN30" s="13" t="str">
        <f t="shared" si="34"/>
        <v/>
      </c>
      <c r="CO30" s="13" t="str">
        <f t="shared" si="34"/>
        <v/>
      </c>
      <c r="CP30" s="13" t="str">
        <f t="shared" si="34"/>
        <v/>
      </c>
      <c r="CQ30" s="13" t="str">
        <f t="shared" si="34"/>
        <v/>
      </c>
      <c r="CR30" s="13" t="str">
        <f t="shared" si="34"/>
        <v/>
      </c>
      <c r="CS30" s="13" t="str">
        <f t="shared" si="35"/>
        <v/>
      </c>
      <c r="CT30" s="13" t="str">
        <f t="shared" si="35"/>
        <v/>
      </c>
      <c r="CU30" s="13" t="str">
        <f t="shared" si="35"/>
        <v/>
      </c>
      <c r="CV30" s="13" t="str">
        <f t="shared" si="35"/>
        <v/>
      </c>
      <c r="CW30" s="13" t="str">
        <f t="shared" si="35"/>
        <v/>
      </c>
      <c r="CX30" s="13" t="str">
        <f t="shared" si="35"/>
        <v/>
      </c>
      <c r="CY30" s="13" t="str">
        <f t="shared" si="35"/>
        <v/>
      </c>
      <c r="CZ30" s="13" t="str">
        <f t="shared" si="35"/>
        <v/>
      </c>
      <c r="DA30" s="13" t="str">
        <f t="shared" si="35"/>
        <v/>
      </c>
      <c r="DB30" s="13" t="str">
        <f t="shared" si="35"/>
        <v/>
      </c>
      <c r="DC30" s="13" t="str">
        <f t="shared" si="36"/>
        <v/>
      </c>
      <c r="DD30" s="13" t="str">
        <f t="shared" si="36"/>
        <v/>
      </c>
      <c r="DE30" s="13" t="str">
        <f t="shared" si="36"/>
        <v/>
      </c>
      <c r="DF30" s="13" t="str">
        <f t="shared" si="36"/>
        <v/>
      </c>
      <c r="DG30" s="13" t="str">
        <f t="shared" si="36"/>
        <v/>
      </c>
      <c r="DH30" s="13" t="str">
        <f t="shared" si="36"/>
        <v/>
      </c>
      <c r="DI30" s="13" t="str">
        <f t="shared" si="36"/>
        <v/>
      </c>
      <c r="DJ30" s="13" t="str">
        <f t="shared" si="36"/>
        <v/>
      </c>
      <c r="DK30" s="13" t="str">
        <f t="shared" si="36"/>
        <v/>
      </c>
      <c r="DL30" s="13" t="str">
        <f t="shared" si="36"/>
        <v/>
      </c>
      <c r="DM30" s="13" t="str">
        <f t="shared" si="37"/>
        <v/>
      </c>
      <c r="DN30" s="13" t="str">
        <f t="shared" si="37"/>
        <v/>
      </c>
      <c r="DO30" s="13" t="str">
        <f t="shared" si="37"/>
        <v/>
      </c>
      <c r="DP30" s="13" t="str">
        <f t="shared" si="37"/>
        <v/>
      </c>
      <c r="DQ30" s="13" t="str">
        <f t="shared" si="37"/>
        <v/>
      </c>
      <c r="DR30" s="13" t="str">
        <f t="shared" si="37"/>
        <v/>
      </c>
      <c r="DS30" s="13" t="str">
        <f t="shared" si="37"/>
        <v/>
      </c>
      <c r="DT30" s="13" t="str">
        <f t="shared" si="37"/>
        <v/>
      </c>
      <c r="DU30" s="13" t="str">
        <f t="shared" si="37"/>
        <v/>
      </c>
      <c r="DV30" s="13" t="str">
        <f t="shared" si="37"/>
        <v/>
      </c>
      <c r="DW30" s="13" t="str">
        <f t="shared" si="38"/>
        <v/>
      </c>
      <c r="DX30" s="13" t="str">
        <f t="shared" si="38"/>
        <v/>
      </c>
      <c r="DY30" s="13" t="str">
        <f t="shared" si="38"/>
        <v/>
      </c>
      <c r="DZ30" s="13" t="str">
        <f t="shared" si="38"/>
        <v/>
      </c>
      <c r="EA30" s="13" t="str">
        <f t="shared" si="38"/>
        <v/>
      </c>
      <c r="EB30" s="13" t="str">
        <f t="shared" si="38"/>
        <v/>
      </c>
      <c r="EC30" s="13" t="str">
        <f t="shared" si="38"/>
        <v/>
      </c>
      <c r="ED30" s="13" t="str">
        <f t="shared" si="38"/>
        <v/>
      </c>
      <c r="EE30" s="13" t="str">
        <f t="shared" si="38"/>
        <v/>
      </c>
      <c r="EF30" s="13" t="str">
        <f t="shared" si="38"/>
        <v/>
      </c>
      <c r="EG30" s="13" t="str">
        <f t="shared" si="38"/>
        <v/>
      </c>
      <c r="EH30" s="13" t="str">
        <f t="shared" si="38"/>
        <v/>
      </c>
    </row>
    <row r="31" spans="1:138" ht="13.5" customHeight="1">
      <c r="A31" s="55" t="s">
        <v>110</v>
      </c>
      <c r="B31" s="56" t="s">
        <v>111</v>
      </c>
      <c r="C31" s="57" t="s">
        <v>78</v>
      </c>
      <c r="D31" s="9" t="s">
        <v>79</v>
      </c>
      <c r="E31" s="10">
        <v>46275</v>
      </c>
      <c r="F31" s="10">
        <v>46276</v>
      </c>
      <c r="G31" s="11" t="str">
        <f t="shared" si="26"/>
        <v/>
      </c>
      <c r="H31" s="11" t="str">
        <f t="shared" si="26"/>
        <v/>
      </c>
      <c r="I31" s="11" t="str">
        <f t="shared" si="26"/>
        <v/>
      </c>
      <c r="J31" s="11" t="str">
        <f t="shared" si="26"/>
        <v/>
      </c>
      <c r="K31" s="11" t="str">
        <f t="shared" si="26"/>
        <v/>
      </c>
      <c r="L31" s="11" t="str">
        <f t="shared" si="26"/>
        <v/>
      </c>
      <c r="M31" s="11" t="str">
        <f t="shared" si="26"/>
        <v/>
      </c>
      <c r="N31" s="11" t="str">
        <f t="shared" si="26"/>
        <v/>
      </c>
      <c r="O31" s="11" t="str">
        <f t="shared" si="26"/>
        <v/>
      </c>
      <c r="P31" s="11" t="str">
        <f t="shared" si="26"/>
        <v/>
      </c>
      <c r="Q31" s="11" t="str">
        <f t="shared" si="27"/>
        <v/>
      </c>
      <c r="R31" s="11" t="str">
        <f t="shared" si="27"/>
        <v/>
      </c>
      <c r="S31" s="11" t="str">
        <f t="shared" si="27"/>
        <v/>
      </c>
      <c r="T31" s="11" t="str">
        <f t="shared" si="27"/>
        <v/>
      </c>
      <c r="U31" s="11" t="str">
        <f t="shared" si="27"/>
        <v/>
      </c>
      <c r="V31" s="11" t="str">
        <f t="shared" si="27"/>
        <v/>
      </c>
      <c r="W31" s="11" t="str">
        <f t="shared" si="27"/>
        <v/>
      </c>
      <c r="X31" s="11" t="str">
        <f t="shared" si="27"/>
        <v/>
      </c>
      <c r="Y31" s="11" t="str">
        <f t="shared" si="27"/>
        <v/>
      </c>
      <c r="Z31" s="11" t="str">
        <f t="shared" si="27"/>
        <v/>
      </c>
      <c r="AA31" s="11" t="str">
        <f t="shared" si="28"/>
        <v/>
      </c>
      <c r="AB31" s="11" t="str">
        <f t="shared" si="28"/>
        <v/>
      </c>
      <c r="AC31" s="11" t="str">
        <f t="shared" si="28"/>
        <v/>
      </c>
      <c r="AD31" s="11" t="str">
        <f t="shared" si="28"/>
        <v/>
      </c>
      <c r="AE31" s="11" t="str">
        <f t="shared" si="28"/>
        <v/>
      </c>
      <c r="AF31" s="11" t="str">
        <f t="shared" si="28"/>
        <v/>
      </c>
      <c r="AG31" s="11" t="str">
        <f t="shared" si="28"/>
        <v/>
      </c>
      <c r="AH31" s="11" t="str">
        <f t="shared" si="28"/>
        <v/>
      </c>
      <c r="AI31" s="11" t="str">
        <f t="shared" si="28"/>
        <v/>
      </c>
      <c r="AJ31" s="11" t="str">
        <f t="shared" si="28"/>
        <v/>
      </c>
      <c r="AK31" s="11" t="str">
        <f t="shared" si="29"/>
        <v/>
      </c>
      <c r="AL31" s="11" t="str">
        <f t="shared" si="29"/>
        <v/>
      </c>
      <c r="AM31" s="11" t="str">
        <f t="shared" si="29"/>
        <v/>
      </c>
      <c r="AN31" s="11" t="str">
        <f t="shared" si="29"/>
        <v/>
      </c>
      <c r="AO31" s="11" t="str">
        <f t="shared" si="29"/>
        <v/>
      </c>
      <c r="AP31" s="11" t="str">
        <f t="shared" si="29"/>
        <v/>
      </c>
      <c r="AQ31" s="11" t="str">
        <f t="shared" si="29"/>
        <v/>
      </c>
      <c r="AR31" s="11" t="str">
        <f t="shared" si="29"/>
        <v/>
      </c>
      <c r="AS31" s="11" t="str">
        <f t="shared" si="29"/>
        <v/>
      </c>
      <c r="AT31" s="11" t="str">
        <f t="shared" si="29"/>
        <v/>
      </c>
      <c r="AU31" s="11" t="str">
        <f t="shared" si="30"/>
        <v>▪</v>
      </c>
      <c r="AV31" s="11" t="str">
        <f t="shared" si="30"/>
        <v>▪</v>
      </c>
      <c r="AW31" s="11" t="str">
        <f t="shared" si="30"/>
        <v/>
      </c>
      <c r="AX31" s="11" t="str">
        <f t="shared" si="30"/>
        <v/>
      </c>
      <c r="AY31" s="11" t="str">
        <f t="shared" si="30"/>
        <v/>
      </c>
      <c r="AZ31" s="11" t="str">
        <f t="shared" si="30"/>
        <v/>
      </c>
      <c r="BA31" s="11" t="str">
        <f t="shared" si="30"/>
        <v/>
      </c>
      <c r="BB31" s="11" t="str">
        <f t="shared" si="30"/>
        <v/>
      </c>
      <c r="BC31" s="11" t="str">
        <f t="shared" si="30"/>
        <v/>
      </c>
      <c r="BD31" s="11" t="str">
        <f t="shared" si="30"/>
        <v/>
      </c>
      <c r="BE31" s="11" t="str">
        <f t="shared" si="31"/>
        <v/>
      </c>
      <c r="BF31" s="11" t="str">
        <f t="shared" si="31"/>
        <v/>
      </c>
      <c r="BG31" s="11" t="str">
        <f t="shared" si="31"/>
        <v/>
      </c>
      <c r="BH31" s="11" t="str">
        <f t="shared" si="31"/>
        <v/>
      </c>
      <c r="BI31" s="11" t="str">
        <f t="shared" si="31"/>
        <v/>
      </c>
      <c r="BJ31" s="11" t="str">
        <f t="shared" si="31"/>
        <v/>
      </c>
      <c r="BK31" s="11" t="str">
        <f t="shared" si="31"/>
        <v/>
      </c>
      <c r="BL31" s="11" t="str">
        <f t="shared" si="31"/>
        <v/>
      </c>
      <c r="BM31" s="11" t="str">
        <f t="shared" si="31"/>
        <v/>
      </c>
      <c r="BN31" s="11" t="str">
        <f t="shared" si="31"/>
        <v/>
      </c>
      <c r="BO31" s="11" t="str">
        <f t="shared" si="32"/>
        <v/>
      </c>
      <c r="BP31" s="11" t="str">
        <f t="shared" si="32"/>
        <v/>
      </c>
      <c r="BQ31" s="11" t="str">
        <f t="shared" si="32"/>
        <v/>
      </c>
      <c r="BR31" s="11" t="str">
        <f t="shared" si="32"/>
        <v/>
      </c>
      <c r="BS31" s="11" t="str">
        <f t="shared" si="32"/>
        <v/>
      </c>
      <c r="BT31" s="11" t="str">
        <f t="shared" si="32"/>
        <v/>
      </c>
      <c r="BU31" s="11" t="str">
        <f t="shared" si="32"/>
        <v/>
      </c>
      <c r="BV31" s="11" t="str">
        <f t="shared" si="32"/>
        <v/>
      </c>
      <c r="BW31" s="11" t="str">
        <f t="shared" si="32"/>
        <v/>
      </c>
      <c r="BX31" s="11" t="str">
        <f t="shared" si="32"/>
        <v/>
      </c>
      <c r="BY31" s="11" t="str">
        <f t="shared" si="33"/>
        <v/>
      </c>
      <c r="BZ31" s="11" t="str">
        <f t="shared" si="33"/>
        <v/>
      </c>
      <c r="CA31" s="11" t="str">
        <f t="shared" si="33"/>
        <v/>
      </c>
      <c r="CB31" s="11" t="str">
        <f t="shared" si="33"/>
        <v/>
      </c>
      <c r="CC31" s="11" t="str">
        <f t="shared" si="33"/>
        <v/>
      </c>
      <c r="CD31" s="11" t="str">
        <f t="shared" si="33"/>
        <v/>
      </c>
      <c r="CE31" s="11" t="str">
        <f t="shared" si="33"/>
        <v/>
      </c>
      <c r="CF31" s="11" t="str">
        <f t="shared" si="33"/>
        <v/>
      </c>
      <c r="CG31" s="11" t="str">
        <f t="shared" si="33"/>
        <v/>
      </c>
      <c r="CH31" s="11" t="str">
        <f t="shared" si="33"/>
        <v/>
      </c>
      <c r="CI31" s="11" t="str">
        <f t="shared" si="34"/>
        <v/>
      </c>
      <c r="CJ31" s="11" t="str">
        <f t="shared" si="34"/>
        <v/>
      </c>
      <c r="CK31" s="11" t="str">
        <f t="shared" si="34"/>
        <v/>
      </c>
      <c r="CL31" s="11" t="str">
        <f t="shared" si="34"/>
        <v/>
      </c>
      <c r="CM31" s="11" t="str">
        <f t="shared" si="34"/>
        <v/>
      </c>
      <c r="CN31" s="11" t="str">
        <f t="shared" si="34"/>
        <v/>
      </c>
      <c r="CO31" s="11" t="str">
        <f t="shared" si="34"/>
        <v/>
      </c>
      <c r="CP31" s="11" t="str">
        <f t="shared" si="34"/>
        <v/>
      </c>
      <c r="CQ31" s="11" t="str">
        <f t="shared" si="34"/>
        <v/>
      </c>
      <c r="CR31" s="11" t="str">
        <f t="shared" si="34"/>
        <v/>
      </c>
      <c r="CS31" s="11" t="str">
        <f t="shared" si="35"/>
        <v/>
      </c>
      <c r="CT31" s="11" t="str">
        <f t="shared" si="35"/>
        <v/>
      </c>
      <c r="CU31" s="11" t="str">
        <f t="shared" si="35"/>
        <v/>
      </c>
      <c r="CV31" s="11" t="str">
        <f t="shared" si="35"/>
        <v/>
      </c>
      <c r="CW31" s="11" t="str">
        <f t="shared" si="35"/>
        <v/>
      </c>
      <c r="CX31" s="11" t="str">
        <f t="shared" si="35"/>
        <v/>
      </c>
      <c r="CY31" s="11" t="str">
        <f t="shared" si="35"/>
        <v/>
      </c>
      <c r="CZ31" s="11" t="str">
        <f t="shared" si="35"/>
        <v/>
      </c>
      <c r="DA31" s="11" t="str">
        <f t="shared" si="35"/>
        <v/>
      </c>
      <c r="DB31" s="11" t="str">
        <f t="shared" si="35"/>
        <v/>
      </c>
      <c r="DC31" s="11" t="str">
        <f t="shared" si="36"/>
        <v/>
      </c>
      <c r="DD31" s="11" t="str">
        <f t="shared" si="36"/>
        <v/>
      </c>
      <c r="DE31" s="11" t="str">
        <f t="shared" si="36"/>
        <v/>
      </c>
      <c r="DF31" s="11" t="str">
        <f t="shared" si="36"/>
        <v/>
      </c>
      <c r="DG31" s="11" t="str">
        <f t="shared" si="36"/>
        <v/>
      </c>
      <c r="DH31" s="11" t="str">
        <f t="shared" si="36"/>
        <v/>
      </c>
      <c r="DI31" s="11" t="str">
        <f t="shared" si="36"/>
        <v/>
      </c>
      <c r="DJ31" s="11" t="str">
        <f t="shared" si="36"/>
        <v/>
      </c>
      <c r="DK31" s="11" t="str">
        <f t="shared" si="36"/>
        <v/>
      </c>
      <c r="DL31" s="11" t="str">
        <f t="shared" si="36"/>
        <v/>
      </c>
      <c r="DM31" s="11" t="str">
        <f t="shared" si="37"/>
        <v/>
      </c>
      <c r="DN31" s="11" t="str">
        <f t="shared" si="37"/>
        <v/>
      </c>
      <c r="DO31" s="11" t="str">
        <f t="shared" si="37"/>
        <v/>
      </c>
      <c r="DP31" s="11" t="str">
        <f t="shared" si="37"/>
        <v/>
      </c>
      <c r="DQ31" s="11" t="str">
        <f t="shared" si="37"/>
        <v/>
      </c>
      <c r="DR31" s="11" t="str">
        <f t="shared" si="37"/>
        <v/>
      </c>
      <c r="DS31" s="11" t="str">
        <f t="shared" si="37"/>
        <v/>
      </c>
      <c r="DT31" s="11" t="str">
        <f t="shared" si="37"/>
        <v/>
      </c>
      <c r="DU31" s="11" t="str">
        <f t="shared" si="37"/>
        <v/>
      </c>
      <c r="DV31" s="11" t="str">
        <f t="shared" si="37"/>
        <v/>
      </c>
      <c r="DW31" s="11" t="str">
        <f t="shared" si="38"/>
        <v/>
      </c>
      <c r="DX31" s="11" t="str">
        <f t="shared" si="38"/>
        <v/>
      </c>
      <c r="DY31" s="11" t="str">
        <f t="shared" si="38"/>
        <v/>
      </c>
      <c r="DZ31" s="11" t="str">
        <f t="shared" si="38"/>
        <v/>
      </c>
      <c r="EA31" s="11" t="str">
        <f t="shared" si="38"/>
        <v/>
      </c>
      <c r="EB31" s="11" t="str">
        <f t="shared" si="38"/>
        <v/>
      </c>
      <c r="EC31" s="11" t="str">
        <f t="shared" si="38"/>
        <v/>
      </c>
      <c r="ED31" s="11" t="str">
        <f t="shared" si="38"/>
        <v/>
      </c>
      <c r="EE31" s="11" t="str">
        <f t="shared" si="38"/>
        <v/>
      </c>
      <c r="EF31" s="11" t="str">
        <f t="shared" si="38"/>
        <v/>
      </c>
      <c r="EG31" s="11" t="str">
        <f t="shared" si="38"/>
        <v/>
      </c>
      <c r="EH31" s="11" t="str">
        <f t="shared" si="38"/>
        <v/>
      </c>
    </row>
    <row r="32" spans="1:138" ht="13.5" customHeight="1">
      <c r="A32" s="55"/>
      <c r="B32" s="55"/>
      <c r="C32" s="55"/>
      <c r="D32" s="12" t="s">
        <v>80</v>
      </c>
      <c r="E32" s="10">
        <v>46276</v>
      </c>
      <c r="F32" s="10">
        <v>46276</v>
      </c>
      <c r="G32" s="13" t="str">
        <f t="shared" si="26"/>
        <v/>
      </c>
      <c r="H32" s="13" t="str">
        <f t="shared" si="26"/>
        <v/>
      </c>
      <c r="I32" s="13" t="str">
        <f t="shared" si="26"/>
        <v/>
      </c>
      <c r="J32" s="13" t="str">
        <f t="shared" si="26"/>
        <v/>
      </c>
      <c r="K32" s="13" t="str">
        <f t="shared" si="26"/>
        <v/>
      </c>
      <c r="L32" s="13" t="str">
        <f t="shared" si="26"/>
        <v/>
      </c>
      <c r="M32" s="13" t="str">
        <f t="shared" si="26"/>
        <v/>
      </c>
      <c r="N32" s="13" t="str">
        <f t="shared" si="26"/>
        <v/>
      </c>
      <c r="O32" s="13" t="str">
        <f t="shared" si="26"/>
        <v/>
      </c>
      <c r="P32" s="13" t="str">
        <f t="shared" si="26"/>
        <v/>
      </c>
      <c r="Q32" s="13" t="str">
        <f t="shared" si="27"/>
        <v/>
      </c>
      <c r="R32" s="13" t="str">
        <f t="shared" si="27"/>
        <v/>
      </c>
      <c r="S32" s="13" t="str">
        <f t="shared" si="27"/>
        <v/>
      </c>
      <c r="T32" s="13" t="str">
        <f t="shared" si="27"/>
        <v/>
      </c>
      <c r="U32" s="13" t="str">
        <f t="shared" si="27"/>
        <v/>
      </c>
      <c r="V32" s="13" t="str">
        <f t="shared" si="27"/>
        <v/>
      </c>
      <c r="W32" s="13" t="str">
        <f t="shared" si="27"/>
        <v/>
      </c>
      <c r="X32" s="13" t="str">
        <f t="shared" si="27"/>
        <v/>
      </c>
      <c r="Y32" s="13" t="str">
        <f t="shared" si="27"/>
        <v/>
      </c>
      <c r="Z32" s="13" t="str">
        <f t="shared" si="27"/>
        <v/>
      </c>
      <c r="AA32" s="13" t="str">
        <f t="shared" si="28"/>
        <v/>
      </c>
      <c r="AB32" s="13" t="str">
        <f t="shared" si="28"/>
        <v/>
      </c>
      <c r="AC32" s="13" t="str">
        <f t="shared" si="28"/>
        <v/>
      </c>
      <c r="AD32" s="13" t="str">
        <f t="shared" si="28"/>
        <v/>
      </c>
      <c r="AE32" s="13" t="str">
        <f t="shared" si="28"/>
        <v/>
      </c>
      <c r="AF32" s="13" t="str">
        <f t="shared" si="28"/>
        <v/>
      </c>
      <c r="AG32" s="13" t="str">
        <f t="shared" si="28"/>
        <v/>
      </c>
      <c r="AH32" s="13" t="str">
        <f t="shared" si="28"/>
        <v/>
      </c>
      <c r="AI32" s="13" t="str">
        <f t="shared" si="28"/>
        <v/>
      </c>
      <c r="AJ32" s="13" t="str">
        <f t="shared" si="28"/>
        <v/>
      </c>
      <c r="AK32" s="13" t="str">
        <f t="shared" si="29"/>
        <v/>
      </c>
      <c r="AL32" s="13" t="str">
        <f t="shared" si="29"/>
        <v/>
      </c>
      <c r="AM32" s="13" t="str">
        <f t="shared" si="29"/>
        <v/>
      </c>
      <c r="AN32" s="13" t="str">
        <f t="shared" si="29"/>
        <v/>
      </c>
      <c r="AO32" s="13" t="str">
        <f t="shared" si="29"/>
        <v/>
      </c>
      <c r="AP32" s="13" t="str">
        <f t="shared" si="29"/>
        <v/>
      </c>
      <c r="AQ32" s="13" t="str">
        <f t="shared" si="29"/>
        <v/>
      </c>
      <c r="AR32" s="13" t="str">
        <f t="shared" si="29"/>
        <v/>
      </c>
      <c r="AS32" s="13" t="str">
        <f t="shared" si="29"/>
        <v/>
      </c>
      <c r="AT32" s="13" t="str">
        <f t="shared" si="29"/>
        <v/>
      </c>
      <c r="AU32" s="13" t="str">
        <f t="shared" si="30"/>
        <v/>
      </c>
      <c r="AV32" s="13" t="str">
        <f t="shared" si="30"/>
        <v>▪</v>
      </c>
      <c r="AW32" s="13" t="str">
        <f t="shared" si="30"/>
        <v/>
      </c>
      <c r="AX32" s="13" t="str">
        <f t="shared" si="30"/>
        <v/>
      </c>
      <c r="AY32" s="13" t="str">
        <f t="shared" si="30"/>
        <v/>
      </c>
      <c r="AZ32" s="13" t="str">
        <f t="shared" si="30"/>
        <v/>
      </c>
      <c r="BA32" s="13" t="str">
        <f t="shared" si="30"/>
        <v/>
      </c>
      <c r="BB32" s="13" t="str">
        <f t="shared" si="30"/>
        <v/>
      </c>
      <c r="BC32" s="13" t="str">
        <f t="shared" si="30"/>
        <v/>
      </c>
      <c r="BD32" s="13" t="str">
        <f t="shared" si="30"/>
        <v/>
      </c>
      <c r="BE32" s="13" t="str">
        <f t="shared" si="31"/>
        <v/>
      </c>
      <c r="BF32" s="13" t="str">
        <f t="shared" si="31"/>
        <v/>
      </c>
      <c r="BG32" s="13" t="str">
        <f t="shared" si="31"/>
        <v/>
      </c>
      <c r="BH32" s="13" t="str">
        <f t="shared" si="31"/>
        <v/>
      </c>
      <c r="BI32" s="13" t="str">
        <f t="shared" si="31"/>
        <v/>
      </c>
      <c r="BJ32" s="13" t="str">
        <f t="shared" si="31"/>
        <v/>
      </c>
      <c r="BK32" s="13" t="str">
        <f t="shared" si="31"/>
        <v/>
      </c>
      <c r="BL32" s="13" t="str">
        <f t="shared" si="31"/>
        <v/>
      </c>
      <c r="BM32" s="13" t="str">
        <f t="shared" si="31"/>
        <v/>
      </c>
      <c r="BN32" s="13" t="str">
        <f t="shared" si="31"/>
        <v/>
      </c>
      <c r="BO32" s="13" t="str">
        <f t="shared" si="32"/>
        <v/>
      </c>
      <c r="BP32" s="13" t="str">
        <f t="shared" si="32"/>
        <v/>
      </c>
      <c r="BQ32" s="13" t="str">
        <f t="shared" si="32"/>
        <v/>
      </c>
      <c r="BR32" s="13" t="str">
        <f t="shared" si="32"/>
        <v/>
      </c>
      <c r="BS32" s="13" t="str">
        <f t="shared" si="32"/>
        <v/>
      </c>
      <c r="BT32" s="13" t="str">
        <f t="shared" si="32"/>
        <v/>
      </c>
      <c r="BU32" s="13" t="str">
        <f t="shared" si="32"/>
        <v/>
      </c>
      <c r="BV32" s="13" t="str">
        <f t="shared" si="32"/>
        <v/>
      </c>
      <c r="BW32" s="13" t="str">
        <f t="shared" si="32"/>
        <v/>
      </c>
      <c r="BX32" s="13" t="str">
        <f t="shared" si="32"/>
        <v/>
      </c>
      <c r="BY32" s="13" t="str">
        <f t="shared" si="33"/>
        <v/>
      </c>
      <c r="BZ32" s="13" t="str">
        <f t="shared" si="33"/>
        <v/>
      </c>
      <c r="CA32" s="13" t="str">
        <f t="shared" si="33"/>
        <v/>
      </c>
      <c r="CB32" s="13" t="str">
        <f t="shared" si="33"/>
        <v/>
      </c>
      <c r="CC32" s="13" t="str">
        <f t="shared" si="33"/>
        <v/>
      </c>
      <c r="CD32" s="13" t="str">
        <f t="shared" si="33"/>
        <v/>
      </c>
      <c r="CE32" s="13" t="str">
        <f t="shared" si="33"/>
        <v/>
      </c>
      <c r="CF32" s="13" t="str">
        <f t="shared" si="33"/>
        <v/>
      </c>
      <c r="CG32" s="13" t="str">
        <f t="shared" si="33"/>
        <v/>
      </c>
      <c r="CH32" s="13" t="str">
        <f t="shared" si="33"/>
        <v/>
      </c>
      <c r="CI32" s="13" t="str">
        <f t="shared" si="34"/>
        <v/>
      </c>
      <c r="CJ32" s="13" t="str">
        <f t="shared" si="34"/>
        <v/>
      </c>
      <c r="CK32" s="13" t="str">
        <f t="shared" si="34"/>
        <v/>
      </c>
      <c r="CL32" s="13" t="str">
        <f t="shared" si="34"/>
        <v/>
      </c>
      <c r="CM32" s="13" t="str">
        <f t="shared" si="34"/>
        <v/>
      </c>
      <c r="CN32" s="13" t="str">
        <f t="shared" si="34"/>
        <v/>
      </c>
      <c r="CO32" s="13" t="str">
        <f t="shared" si="34"/>
        <v/>
      </c>
      <c r="CP32" s="13" t="str">
        <f t="shared" si="34"/>
        <v/>
      </c>
      <c r="CQ32" s="13" t="str">
        <f t="shared" si="34"/>
        <v/>
      </c>
      <c r="CR32" s="13" t="str">
        <f t="shared" si="34"/>
        <v/>
      </c>
      <c r="CS32" s="13" t="str">
        <f t="shared" si="35"/>
        <v/>
      </c>
      <c r="CT32" s="13" t="str">
        <f t="shared" si="35"/>
        <v/>
      </c>
      <c r="CU32" s="13" t="str">
        <f t="shared" si="35"/>
        <v/>
      </c>
      <c r="CV32" s="13" t="str">
        <f t="shared" si="35"/>
        <v/>
      </c>
      <c r="CW32" s="13" t="str">
        <f t="shared" si="35"/>
        <v/>
      </c>
      <c r="CX32" s="13" t="str">
        <f t="shared" si="35"/>
        <v/>
      </c>
      <c r="CY32" s="13" t="str">
        <f t="shared" si="35"/>
        <v/>
      </c>
      <c r="CZ32" s="13" t="str">
        <f t="shared" si="35"/>
        <v/>
      </c>
      <c r="DA32" s="13" t="str">
        <f t="shared" si="35"/>
        <v/>
      </c>
      <c r="DB32" s="13" t="str">
        <f t="shared" si="35"/>
        <v/>
      </c>
      <c r="DC32" s="13" t="str">
        <f t="shared" si="36"/>
        <v/>
      </c>
      <c r="DD32" s="13" t="str">
        <f t="shared" si="36"/>
        <v/>
      </c>
      <c r="DE32" s="13" t="str">
        <f t="shared" si="36"/>
        <v/>
      </c>
      <c r="DF32" s="13" t="str">
        <f t="shared" si="36"/>
        <v/>
      </c>
      <c r="DG32" s="13" t="str">
        <f t="shared" si="36"/>
        <v/>
      </c>
      <c r="DH32" s="13" t="str">
        <f t="shared" si="36"/>
        <v/>
      </c>
      <c r="DI32" s="13" t="str">
        <f t="shared" si="36"/>
        <v/>
      </c>
      <c r="DJ32" s="13" t="str">
        <f t="shared" si="36"/>
        <v/>
      </c>
      <c r="DK32" s="13" t="str">
        <f t="shared" si="36"/>
        <v/>
      </c>
      <c r="DL32" s="13" t="str">
        <f t="shared" si="36"/>
        <v/>
      </c>
      <c r="DM32" s="13" t="str">
        <f t="shared" si="37"/>
        <v/>
      </c>
      <c r="DN32" s="13" t="str">
        <f t="shared" si="37"/>
        <v/>
      </c>
      <c r="DO32" s="13" t="str">
        <f t="shared" si="37"/>
        <v/>
      </c>
      <c r="DP32" s="13" t="str">
        <f t="shared" si="37"/>
        <v/>
      </c>
      <c r="DQ32" s="13" t="str">
        <f t="shared" si="37"/>
        <v/>
      </c>
      <c r="DR32" s="13" t="str">
        <f t="shared" si="37"/>
        <v/>
      </c>
      <c r="DS32" s="13" t="str">
        <f t="shared" si="37"/>
        <v/>
      </c>
      <c r="DT32" s="13" t="str">
        <f t="shared" si="37"/>
        <v/>
      </c>
      <c r="DU32" s="13" t="str">
        <f t="shared" si="37"/>
        <v/>
      </c>
      <c r="DV32" s="13" t="str">
        <f t="shared" si="37"/>
        <v/>
      </c>
      <c r="DW32" s="13" t="str">
        <f t="shared" si="38"/>
        <v/>
      </c>
      <c r="DX32" s="13" t="str">
        <f t="shared" si="38"/>
        <v/>
      </c>
      <c r="DY32" s="13" t="str">
        <f t="shared" si="38"/>
        <v/>
      </c>
      <c r="DZ32" s="13" t="str">
        <f t="shared" si="38"/>
        <v/>
      </c>
      <c r="EA32" s="13" t="str">
        <f t="shared" si="38"/>
        <v/>
      </c>
      <c r="EB32" s="13" t="str">
        <f t="shared" si="38"/>
        <v/>
      </c>
      <c r="EC32" s="13" t="str">
        <f t="shared" si="38"/>
        <v/>
      </c>
      <c r="ED32" s="13" t="str">
        <f t="shared" si="38"/>
        <v/>
      </c>
      <c r="EE32" s="13" t="str">
        <f t="shared" si="38"/>
        <v/>
      </c>
      <c r="EF32" s="13" t="str">
        <f t="shared" si="38"/>
        <v/>
      </c>
      <c r="EG32" s="13" t="str">
        <f t="shared" si="38"/>
        <v/>
      </c>
      <c r="EH32" s="13" t="str">
        <f t="shared" si="38"/>
        <v/>
      </c>
    </row>
    <row r="33" spans="1:138" ht="13.5" customHeight="1">
      <c r="A33" s="55" t="s">
        <v>112</v>
      </c>
      <c r="B33" s="56" t="s">
        <v>113</v>
      </c>
      <c r="C33" s="57" t="s">
        <v>101</v>
      </c>
      <c r="D33" s="9" t="s">
        <v>79</v>
      </c>
      <c r="E33" s="10">
        <v>46277</v>
      </c>
      <c r="F33" s="10">
        <v>46277</v>
      </c>
      <c r="G33" s="11" t="str">
        <f t="shared" si="26"/>
        <v/>
      </c>
      <c r="H33" s="11" t="str">
        <f t="shared" si="26"/>
        <v/>
      </c>
      <c r="I33" s="11" t="str">
        <f t="shared" si="26"/>
        <v/>
      </c>
      <c r="J33" s="11" t="str">
        <f t="shared" si="26"/>
        <v/>
      </c>
      <c r="K33" s="11" t="str">
        <f t="shared" si="26"/>
        <v/>
      </c>
      <c r="L33" s="11" t="str">
        <f t="shared" si="26"/>
        <v/>
      </c>
      <c r="M33" s="11" t="str">
        <f t="shared" si="26"/>
        <v/>
      </c>
      <c r="N33" s="11" t="str">
        <f t="shared" si="26"/>
        <v/>
      </c>
      <c r="O33" s="11" t="str">
        <f t="shared" si="26"/>
        <v/>
      </c>
      <c r="P33" s="11" t="str">
        <f t="shared" si="26"/>
        <v/>
      </c>
      <c r="Q33" s="11" t="str">
        <f t="shared" si="27"/>
        <v/>
      </c>
      <c r="R33" s="11" t="str">
        <f t="shared" si="27"/>
        <v/>
      </c>
      <c r="S33" s="11" t="str">
        <f t="shared" si="27"/>
        <v/>
      </c>
      <c r="T33" s="11" t="str">
        <f t="shared" si="27"/>
        <v/>
      </c>
      <c r="U33" s="11" t="str">
        <f t="shared" si="27"/>
        <v/>
      </c>
      <c r="V33" s="11" t="str">
        <f t="shared" si="27"/>
        <v/>
      </c>
      <c r="W33" s="11" t="str">
        <f t="shared" si="27"/>
        <v/>
      </c>
      <c r="X33" s="11" t="str">
        <f t="shared" si="27"/>
        <v/>
      </c>
      <c r="Y33" s="11" t="str">
        <f t="shared" si="27"/>
        <v/>
      </c>
      <c r="Z33" s="11" t="str">
        <f t="shared" si="27"/>
        <v/>
      </c>
      <c r="AA33" s="11" t="str">
        <f t="shared" si="28"/>
        <v/>
      </c>
      <c r="AB33" s="11" t="str">
        <f t="shared" si="28"/>
        <v/>
      </c>
      <c r="AC33" s="11" t="str">
        <f t="shared" si="28"/>
        <v/>
      </c>
      <c r="AD33" s="11" t="str">
        <f t="shared" si="28"/>
        <v/>
      </c>
      <c r="AE33" s="11" t="str">
        <f t="shared" si="28"/>
        <v/>
      </c>
      <c r="AF33" s="11" t="str">
        <f t="shared" si="28"/>
        <v/>
      </c>
      <c r="AG33" s="11" t="str">
        <f t="shared" si="28"/>
        <v/>
      </c>
      <c r="AH33" s="11" t="str">
        <f t="shared" si="28"/>
        <v/>
      </c>
      <c r="AI33" s="11" t="str">
        <f t="shared" si="28"/>
        <v/>
      </c>
      <c r="AJ33" s="11" t="str">
        <f t="shared" si="28"/>
        <v/>
      </c>
      <c r="AK33" s="11" t="str">
        <f t="shared" si="29"/>
        <v/>
      </c>
      <c r="AL33" s="11" t="str">
        <f t="shared" si="29"/>
        <v/>
      </c>
      <c r="AM33" s="11" t="str">
        <f t="shared" si="29"/>
        <v/>
      </c>
      <c r="AN33" s="11" t="str">
        <f t="shared" si="29"/>
        <v/>
      </c>
      <c r="AO33" s="11" t="str">
        <f t="shared" si="29"/>
        <v/>
      </c>
      <c r="AP33" s="11" t="str">
        <f t="shared" si="29"/>
        <v/>
      </c>
      <c r="AQ33" s="11" t="str">
        <f t="shared" si="29"/>
        <v/>
      </c>
      <c r="AR33" s="11" t="str">
        <f t="shared" si="29"/>
        <v/>
      </c>
      <c r="AS33" s="11" t="str">
        <f t="shared" si="29"/>
        <v/>
      </c>
      <c r="AT33" s="11" t="str">
        <f t="shared" si="29"/>
        <v/>
      </c>
      <c r="AU33" s="11" t="str">
        <f t="shared" si="30"/>
        <v/>
      </c>
      <c r="AV33" s="11" t="str">
        <f t="shared" si="30"/>
        <v/>
      </c>
      <c r="AW33" s="11" t="str">
        <f t="shared" si="30"/>
        <v>▪</v>
      </c>
      <c r="AX33" s="11" t="str">
        <f t="shared" si="30"/>
        <v/>
      </c>
      <c r="AY33" s="11" t="str">
        <f t="shared" si="30"/>
        <v/>
      </c>
      <c r="AZ33" s="11" t="str">
        <f t="shared" si="30"/>
        <v/>
      </c>
      <c r="BA33" s="11" t="str">
        <f t="shared" si="30"/>
        <v/>
      </c>
      <c r="BB33" s="11" t="str">
        <f t="shared" si="30"/>
        <v/>
      </c>
      <c r="BC33" s="11" t="str">
        <f t="shared" si="30"/>
        <v/>
      </c>
      <c r="BD33" s="11" t="str">
        <f t="shared" si="30"/>
        <v/>
      </c>
      <c r="BE33" s="11" t="str">
        <f t="shared" si="31"/>
        <v/>
      </c>
      <c r="BF33" s="11" t="str">
        <f t="shared" si="31"/>
        <v/>
      </c>
      <c r="BG33" s="11" t="str">
        <f t="shared" si="31"/>
        <v/>
      </c>
      <c r="BH33" s="11" t="str">
        <f t="shared" si="31"/>
        <v/>
      </c>
      <c r="BI33" s="11" t="str">
        <f t="shared" si="31"/>
        <v/>
      </c>
      <c r="BJ33" s="11" t="str">
        <f t="shared" si="31"/>
        <v/>
      </c>
      <c r="BK33" s="11" t="str">
        <f t="shared" si="31"/>
        <v/>
      </c>
      <c r="BL33" s="11" t="str">
        <f t="shared" si="31"/>
        <v/>
      </c>
      <c r="BM33" s="11" t="str">
        <f t="shared" si="31"/>
        <v/>
      </c>
      <c r="BN33" s="11" t="str">
        <f t="shared" si="31"/>
        <v/>
      </c>
      <c r="BO33" s="11" t="str">
        <f t="shared" si="32"/>
        <v/>
      </c>
      <c r="BP33" s="11" t="str">
        <f t="shared" si="32"/>
        <v/>
      </c>
      <c r="BQ33" s="11" t="str">
        <f t="shared" si="32"/>
        <v/>
      </c>
      <c r="BR33" s="11" t="str">
        <f t="shared" si="32"/>
        <v/>
      </c>
      <c r="BS33" s="11" t="str">
        <f t="shared" si="32"/>
        <v/>
      </c>
      <c r="BT33" s="11" t="str">
        <f t="shared" si="32"/>
        <v/>
      </c>
      <c r="BU33" s="11" t="str">
        <f t="shared" si="32"/>
        <v/>
      </c>
      <c r="BV33" s="11" t="str">
        <f t="shared" si="32"/>
        <v/>
      </c>
      <c r="BW33" s="11" t="str">
        <f t="shared" si="32"/>
        <v/>
      </c>
      <c r="BX33" s="11" t="str">
        <f t="shared" si="32"/>
        <v/>
      </c>
      <c r="BY33" s="11" t="str">
        <f t="shared" si="33"/>
        <v/>
      </c>
      <c r="BZ33" s="11" t="str">
        <f t="shared" si="33"/>
        <v/>
      </c>
      <c r="CA33" s="11" t="str">
        <f t="shared" si="33"/>
        <v/>
      </c>
      <c r="CB33" s="11" t="str">
        <f t="shared" si="33"/>
        <v/>
      </c>
      <c r="CC33" s="11" t="str">
        <f t="shared" si="33"/>
        <v/>
      </c>
      <c r="CD33" s="11" t="str">
        <f t="shared" si="33"/>
        <v/>
      </c>
      <c r="CE33" s="11" t="str">
        <f t="shared" si="33"/>
        <v/>
      </c>
      <c r="CF33" s="11" t="str">
        <f t="shared" si="33"/>
        <v/>
      </c>
      <c r="CG33" s="11" t="str">
        <f t="shared" si="33"/>
        <v/>
      </c>
      <c r="CH33" s="11" t="str">
        <f t="shared" si="33"/>
        <v/>
      </c>
      <c r="CI33" s="11" t="str">
        <f t="shared" si="34"/>
        <v/>
      </c>
      <c r="CJ33" s="11" t="str">
        <f t="shared" si="34"/>
        <v/>
      </c>
      <c r="CK33" s="11" t="str">
        <f t="shared" si="34"/>
        <v/>
      </c>
      <c r="CL33" s="11" t="str">
        <f t="shared" si="34"/>
        <v/>
      </c>
      <c r="CM33" s="11" t="str">
        <f t="shared" si="34"/>
        <v/>
      </c>
      <c r="CN33" s="11" t="str">
        <f t="shared" si="34"/>
        <v/>
      </c>
      <c r="CO33" s="11" t="str">
        <f t="shared" si="34"/>
        <v/>
      </c>
      <c r="CP33" s="11" t="str">
        <f t="shared" si="34"/>
        <v/>
      </c>
      <c r="CQ33" s="11" t="str">
        <f t="shared" si="34"/>
        <v/>
      </c>
      <c r="CR33" s="11" t="str">
        <f t="shared" si="34"/>
        <v/>
      </c>
      <c r="CS33" s="11" t="str">
        <f t="shared" si="35"/>
        <v/>
      </c>
      <c r="CT33" s="11" t="str">
        <f t="shared" si="35"/>
        <v/>
      </c>
      <c r="CU33" s="11" t="str">
        <f t="shared" si="35"/>
        <v/>
      </c>
      <c r="CV33" s="11" t="str">
        <f t="shared" si="35"/>
        <v/>
      </c>
      <c r="CW33" s="11" t="str">
        <f t="shared" si="35"/>
        <v/>
      </c>
      <c r="CX33" s="11" t="str">
        <f t="shared" si="35"/>
        <v/>
      </c>
      <c r="CY33" s="11" t="str">
        <f t="shared" si="35"/>
        <v/>
      </c>
      <c r="CZ33" s="11" t="str">
        <f t="shared" si="35"/>
        <v/>
      </c>
      <c r="DA33" s="11" t="str">
        <f t="shared" si="35"/>
        <v/>
      </c>
      <c r="DB33" s="11" t="str">
        <f t="shared" si="35"/>
        <v/>
      </c>
      <c r="DC33" s="11" t="str">
        <f t="shared" si="36"/>
        <v/>
      </c>
      <c r="DD33" s="11" t="str">
        <f t="shared" si="36"/>
        <v/>
      </c>
      <c r="DE33" s="11" t="str">
        <f t="shared" si="36"/>
        <v/>
      </c>
      <c r="DF33" s="11" t="str">
        <f t="shared" si="36"/>
        <v/>
      </c>
      <c r="DG33" s="11" t="str">
        <f t="shared" si="36"/>
        <v/>
      </c>
      <c r="DH33" s="11" t="str">
        <f t="shared" si="36"/>
        <v/>
      </c>
      <c r="DI33" s="11" t="str">
        <f t="shared" si="36"/>
        <v/>
      </c>
      <c r="DJ33" s="11" t="str">
        <f t="shared" si="36"/>
        <v/>
      </c>
      <c r="DK33" s="11" t="str">
        <f t="shared" si="36"/>
        <v/>
      </c>
      <c r="DL33" s="11" t="str">
        <f t="shared" si="36"/>
        <v/>
      </c>
      <c r="DM33" s="11" t="str">
        <f t="shared" si="37"/>
        <v/>
      </c>
      <c r="DN33" s="11" t="str">
        <f t="shared" si="37"/>
        <v/>
      </c>
      <c r="DO33" s="11" t="str">
        <f t="shared" si="37"/>
        <v/>
      </c>
      <c r="DP33" s="11" t="str">
        <f t="shared" si="37"/>
        <v/>
      </c>
      <c r="DQ33" s="11" t="str">
        <f t="shared" si="37"/>
        <v/>
      </c>
      <c r="DR33" s="11" t="str">
        <f t="shared" si="37"/>
        <v/>
      </c>
      <c r="DS33" s="11" t="str">
        <f t="shared" si="37"/>
        <v/>
      </c>
      <c r="DT33" s="11" t="str">
        <f t="shared" si="37"/>
        <v/>
      </c>
      <c r="DU33" s="11" t="str">
        <f t="shared" si="37"/>
        <v/>
      </c>
      <c r="DV33" s="11" t="str">
        <f t="shared" si="37"/>
        <v/>
      </c>
      <c r="DW33" s="11" t="str">
        <f t="shared" si="38"/>
        <v/>
      </c>
      <c r="DX33" s="11" t="str">
        <f t="shared" si="38"/>
        <v/>
      </c>
      <c r="DY33" s="11" t="str">
        <f t="shared" si="38"/>
        <v/>
      </c>
      <c r="DZ33" s="11" t="str">
        <f t="shared" si="38"/>
        <v/>
      </c>
      <c r="EA33" s="11" t="str">
        <f t="shared" si="38"/>
        <v/>
      </c>
      <c r="EB33" s="11" t="str">
        <f t="shared" si="38"/>
        <v/>
      </c>
      <c r="EC33" s="11" t="str">
        <f t="shared" si="38"/>
        <v/>
      </c>
      <c r="ED33" s="11" t="str">
        <f t="shared" si="38"/>
        <v/>
      </c>
      <c r="EE33" s="11" t="str">
        <f t="shared" si="38"/>
        <v/>
      </c>
      <c r="EF33" s="11" t="str">
        <f t="shared" si="38"/>
        <v/>
      </c>
      <c r="EG33" s="11" t="str">
        <f t="shared" si="38"/>
        <v/>
      </c>
      <c r="EH33" s="11" t="str">
        <f t="shared" si="38"/>
        <v/>
      </c>
    </row>
    <row r="34" spans="1:138" ht="13.5" customHeight="1">
      <c r="A34" s="55"/>
      <c r="B34" s="55"/>
      <c r="C34" s="55"/>
      <c r="D34" s="12" t="s">
        <v>80</v>
      </c>
      <c r="E34" s="10">
        <v>46276</v>
      </c>
      <c r="F34" s="10">
        <v>46276</v>
      </c>
      <c r="G34" s="13" t="str">
        <f t="shared" si="26"/>
        <v/>
      </c>
      <c r="H34" s="13" t="str">
        <f t="shared" si="26"/>
        <v/>
      </c>
      <c r="I34" s="13" t="str">
        <f t="shared" si="26"/>
        <v/>
      </c>
      <c r="J34" s="13" t="str">
        <f t="shared" si="26"/>
        <v/>
      </c>
      <c r="K34" s="13" t="str">
        <f t="shared" si="26"/>
        <v/>
      </c>
      <c r="L34" s="13" t="str">
        <f t="shared" si="26"/>
        <v/>
      </c>
      <c r="M34" s="13" t="str">
        <f t="shared" si="26"/>
        <v/>
      </c>
      <c r="N34" s="13" t="str">
        <f t="shared" si="26"/>
        <v/>
      </c>
      <c r="O34" s="13" t="str">
        <f t="shared" si="26"/>
        <v/>
      </c>
      <c r="P34" s="13" t="str">
        <f t="shared" si="26"/>
        <v/>
      </c>
      <c r="Q34" s="13" t="str">
        <f t="shared" si="27"/>
        <v/>
      </c>
      <c r="R34" s="13" t="str">
        <f t="shared" si="27"/>
        <v/>
      </c>
      <c r="S34" s="13" t="str">
        <f t="shared" si="27"/>
        <v/>
      </c>
      <c r="T34" s="13" t="str">
        <f t="shared" si="27"/>
        <v/>
      </c>
      <c r="U34" s="13" t="str">
        <f t="shared" si="27"/>
        <v/>
      </c>
      <c r="V34" s="13" t="str">
        <f t="shared" si="27"/>
        <v/>
      </c>
      <c r="W34" s="13" t="str">
        <f t="shared" si="27"/>
        <v/>
      </c>
      <c r="X34" s="13" t="str">
        <f t="shared" si="27"/>
        <v/>
      </c>
      <c r="Y34" s="13" t="str">
        <f t="shared" si="27"/>
        <v/>
      </c>
      <c r="Z34" s="13" t="str">
        <f t="shared" si="27"/>
        <v/>
      </c>
      <c r="AA34" s="13" t="str">
        <f t="shared" si="28"/>
        <v/>
      </c>
      <c r="AB34" s="13" t="str">
        <f t="shared" si="28"/>
        <v/>
      </c>
      <c r="AC34" s="13" t="str">
        <f t="shared" si="28"/>
        <v/>
      </c>
      <c r="AD34" s="13" t="str">
        <f t="shared" si="28"/>
        <v/>
      </c>
      <c r="AE34" s="13" t="str">
        <f t="shared" si="28"/>
        <v/>
      </c>
      <c r="AF34" s="13" t="str">
        <f t="shared" si="28"/>
        <v/>
      </c>
      <c r="AG34" s="13" t="str">
        <f t="shared" si="28"/>
        <v/>
      </c>
      <c r="AH34" s="13" t="str">
        <f t="shared" si="28"/>
        <v/>
      </c>
      <c r="AI34" s="13" t="str">
        <f t="shared" si="28"/>
        <v/>
      </c>
      <c r="AJ34" s="13" t="str">
        <f t="shared" si="28"/>
        <v/>
      </c>
      <c r="AK34" s="13" t="str">
        <f t="shared" si="29"/>
        <v/>
      </c>
      <c r="AL34" s="13" t="str">
        <f t="shared" si="29"/>
        <v/>
      </c>
      <c r="AM34" s="13" t="str">
        <f t="shared" si="29"/>
        <v/>
      </c>
      <c r="AN34" s="13" t="str">
        <f t="shared" si="29"/>
        <v/>
      </c>
      <c r="AO34" s="13" t="str">
        <f t="shared" si="29"/>
        <v/>
      </c>
      <c r="AP34" s="13" t="str">
        <f t="shared" si="29"/>
        <v/>
      </c>
      <c r="AQ34" s="13" t="str">
        <f t="shared" si="29"/>
        <v/>
      </c>
      <c r="AR34" s="13" t="str">
        <f t="shared" si="29"/>
        <v/>
      </c>
      <c r="AS34" s="13" t="str">
        <f t="shared" si="29"/>
        <v/>
      </c>
      <c r="AT34" s="13" t="str">
        <f t="shared" si="29"/>
        <v/>
      </c>
      <c r="AU34" s="13" t="str">
        <f t="shared" si="30"/>
        <v/>
      </c>
      <c r="AV34" s="13" t="str">
        <f t="shared" si="30"/>
        <v>▪</v>
      </c>
      <c r="AW34" s="13" t="str">
        <f t="shared" si="30"/>
        <v/>
      </c>
      <c r="AX34" s="13" t="str">
        <f t="shared" si="30"/>
        <v/>
      </c>
      <c r="AY34" s="13" t="str">
        <f t="shared" si="30"/>
        <v/>
      </c>
      <c r="AZ34" s="13" t="str">
        <f t="shared" si="30"/>
        <v/>
      </c>
      <c r="BA34" s="13" t="str">
        <f t="shared" si="30"/>
        <v/>
      </c>
      <c r="BB34" s="13" t="str">
        <f t="shared" si="30"/>
        <v/>
      </c>
      <c r="BC34" s="13" t="str">
        <f t="shared" si="30"/>
        <v/>
      </c>
      <c r="BD34" s="13" t="str">
        <f t="shared" si="30"/>
        <v/>
      </c>
      <c r="BE34" s="13" t="str">
        <f t="shared" si="31"/>
        <v/>
      </c>
      <c r="BF34" s="13" t="str">
        <f t="shared" si="31"/>
        <v/>
      </c>
      <c r="BG34" s="13" t="str">
        <f t="shared" si="31"/>
        <v/>
      </c>
      <c r="BH34" s="13" t="str">
        <f t="shared" si="31"/>
        <v/>
      </c>
      <c r="BI34" s="13" t="str">
        <f t="shared" si="31"/>
        <v/>
      </c>
      <c r="BJ34" s="13" t="str">
        <f t="shared" si="31"/>
        <v/>
      </c>
      <c r="BK34" s="13" t="str">
        <f t="shared" si="31"/>
        <v/>
      </c>
      <c r="BL34" s="13" t="str">
        <f t="shared" si="31"/>
        <v/>
      </c>
      <c r="BM34" s="13" t="str">
        <f t="shared" si="31"/>
        <v/>
      </c>
      <c r="BN34" s="13" t="str">
        <f t="shared" si="31"/>
        <v/>
      </c>
      <c r="BO34" s="13" t="str">
        <f t="shared" si="32"/>
        <v/>
      </c>
      <c r="BP34" s="13" t="str">
        <f t="shared" si="32"/>
        <v/>
      </c>
      <c r="BQ34" s="13" t="str">
        <f t="shared" si="32"/>
        <v/>
      </c>
      <c r="BR34" s="13" t="str">
        <f t="shared" si="32"/>
        <v/>
      </c>
      <c r="BS34" s="13" t="str">
        <f t="shared" si="32"/>
        <v/>
      </c>
      <c r="BT34" s="13" t="str">
        <f t="shared" si="32"/>
        <v/>
      </c>
      <c r="BU34" s="13" t="str">
        <f t="shared" si="32"/>
        <v/>
      </c>
      <c r="BV34" s="13" t="str">
        <f t="shared" si="32"/>
        <v/>
      </c>
      <c r="BW34" s="13" t="str">
        <f t="shared" si="32"/>
        <v/>
      </c>
      <c r="BX34" s="13" t="str">
        <f t="shared" si="32"/>
        <v/>
      </c>
      <c r="BY34" s="13" t="str">
        <f t="shared" si="33"/>
        <v/>
      </c>
      <c r="BZ34" s="13" t="str">
        <f t="shared" si="33"/>
        <v/>
      </c>
      <c r="CA34" s="13" t="str">
        <f t="shared" si="33"/>
        <v/>
      </c>
      <c r="CB34" s="13" t="str">
        <f t="shared" si="33"/>
        <v/>
      </c>
      <c r="CC34" s="13" t="str">
        <f t="shared" si="33"/>
        <v/>
      </c>
      <c r="CD34" s="13" t="str">
        <f t="shared" si="33"/>
        <v/>
      </c>
      <c r="CE34" s="13" t="str">
        <f t="shared" si="33"/>
        <v/>
      </c>
      <c r="CF34" s="13" t="str">
        <f t="shared" si="33"/>
        <v/>
      </c>
      <c r="CG34" s="13" t="str">
        <f t="shared" si="33"/>
        <v/>
      </c>
      <c r="CH34" s="13" t="str">
        <f t="shared" si="33"/>
        <v/>
      </c>
      <c r="CI34" s="13" t="str">
        <f t="shared" si="34"/>
        <v/>
      </c>
      <c r="CJ34" s="13" t="str">
        <f t="shared" si="34"/>
        <v/>
      </c>
      <c r="CK34" s="13" t="str">
        <f t="shared" si="34"/>
        <v/>
      </c>
      <c r="CL34" s="13" t="str">
        <f t="shared" si="34"/>
        <v/>
      </c>
      <c r="CM34" s="13" t="str">
        <f t="shared" si="34"/>
        <v/>
      </c>
      <c r="CN34" s="13" t="str">
        <f t="shared" si="34"/>
        <v/>
      </c>
      <c r="CO34" s="13" t="str">
        <f t="shared" si="34"/>
        <v/>
      </c>
      <c r="CP34" s="13" t="str">
        <f t="shared" si="34"/>
        <v/>
      </c>
      <c r="CQ34" s="13" t="str">
        <f t="shared" si="34"/>
        <v/>
      </c>
      <c r="CR34" s="13" t="str">
        <f t="shared" si="34"/>
        <v/>
      </c>
      <c r="CS34" s="13" t="str">
        <f t="shared" si="35"/>
        <v/>
      </c>
      <c r="CT34" s="13" t="str">
        <f t="shared" si="35"/>
        <v/>
      </c>
      <c r="CU34" s="13" t="str">
        <f t="shared" si="35"/>
        <v/>
      </c>
      <c r="CV34" s="13" t="str">
        <f t="shared" si="35"/>
        <v/>
      </c>
      <c r="CW34" s="13" t="str">
        <f t="shared" si="35"/>
        <v/>
      </c>
      <c r="CX34" s="13" t="str">
        <f t="shared" si="35"/>
        <v/>
      </c>
      <c r="CY34" s="13" t="str">
        <f t="shared" si="35"/>
        <v/>
      </c>
      <c r="CZ34" s="13" t="str">
        <f t="shared" si="35"/>
        <v/>
      </c>
      <c r="DA34" s="13" t="str">
        <f t="shared" si="35"/>
        <v/>
      </c>
      <c r="DB34" s="13" t="str">
        <f t="shared" si="35"/>
        <v/>
      </c>
      <c r="DC34" s="13" t="str">
        <f t="shared" si="36"/>
        <v/>
      </c>
      <c r="DD34" s="13" t="str">
        <f t="shared" si="36"/>
        <v/>
      </c>
      <c r="DE34" s="13" t="str">
        <f t="shared" si="36"/>
        <v/>
      </c>
      <c r="DF34" s="13" t="str">
        <f t="shared" si="36"/>
        <v/>
      </c>
      <c r="DG34" s="13" t="str">
        <f t="shared" si="36"/>
        <v/>
      </c>
      <c r="DH34" s="13" t="str">
        <f t="shared" si="36"/>
        <v/>
      </c>
      <c r="DI34" s="13" t="str">
        <f t="shared" si="36"/>
        <v/>
      </c>
      <c r="DJ34" s="13" t="str">
        <f t="shared" si="36"/>
        <v/>
      </c>
      <c r="DK34" s="13" t="str">
        <f t="shared" si="36"/>
        <v/>
      </c>
      <c r="DL34" s="13" t="str">
        <f t="shared" si="36"/>
        <v/>
      </c>
      <c r="DM34" s="13" t="str">
        <f t="shared" si="37"/>
        <v/>
      </c>
      <c r="DN34" s="13" t="str">
        <f t="shared" si="37"/>
        <v/>
      </c>
      <c r="DO34" s="13" t="str">
        <f t="shared" si="37"/>
        <v/>
      </c>
      <c r="DP34" s="13" t="str">
        <f t="shared" si="37"/>
        <v/>
      </c>
      <c r="DQ34" s="13" t="str">
        <f t="shared" si="37"/>
        <v/>
      </c>
      <c r="DR34" s="13" t="str">
        <f t="shared" si="37"/>
        <v/>
      </c>
      <c r="DS34" s="13" t="str">
        <f t="shared" si="37"/>
        <v/>
      </c>
      <c r="DT34" s="13" t="str">
        <f t="shared" si="37"/>
        <v/>
      </c>
      <c r="DU34" s="13" t="str">
        <f t="shared" si="37"/>
        <v/>
      </c>
      <c r="DV34" s="13" t="str">
        <f t="shared" si="37"/>
        <v/>
      </c>
      <c r="DW34" s="13" t="str">
        <f t="shared" si="38"/>
        <v/>
      </c>
      <c r="DX34" s="13" t="str">
        <f t="shared" si="38"/>
        <v/>
      </c>
      <c r="DY34" s="13" t="str">
        <f t="shared" si="38"/>
        <v/>
      </c>
      <c r="DZ34" s="13" t="str">
        <f t="shared" si="38"/>
        <v/>
      </c>
      <c r="EA34" s="13" t="str">
        <f t="shared" si="38"/>
        <v/>
      </c>
      <c r="EB34" s="13" t="str">
        <f t="shared" si="38"/>
        <v/>
      </c>
      <c r="EC34" s="13" t="str">
        <f t="shared" si="38"/>
        <v/>
      </c>
      <c r="ED34" s="13" t="str">
        <f t="shared" si="38"/>
        <v/>
      </c>
      <c r="EE34" s="13" t="str">
        <f t="shared" si="38"/>
        <v/>
      </c>
      <c r="EF34" s="13" t="str">
        <f t="shared" si="38"/>
        <v/>
      </c>
      <c r="EG34" s="13" t="str">
        <f t="shared" si="38"/>
        <v/>
      </c>
      <c r="EH34" s="13" t="str">
        <f t="shared" si="38"/>
        <v/>
      </c>
    </row>
    <row r="35" spans="1:138" ht="15.75" customHeight="1">
      <c r="A35" s="54" t="s">
        <v>114</v>
      </c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4"/>
      <c r="AC35" s="54"/>
      <c r="AD35" s="54"/>
      <c r="AE35" s="54"/>
      <c r="AF35" s="54"/>
      <c r="AG35" s="54"/>
      <c r="AH35" s="54"/>
      <c r="AI35" s="54"/>
      <c r="AJ35" s="54"/>
      <c r="AK35" s="54"/>
      <c r="AL35" s="54"/>
      <c r="AM35" s="54"/>
      <c r="AN35" s="54"/>
      <c r="AO35" s="54"/>
      <c r="AP35" s="54"/>
      <c r="AQ35" s="54"/>
      <c r="AR35" s="54"/>
      <c r="AS35" s="54"/>
      <c r="AT35" s="54"/>
      <c r="AU35" s="54"/>
      <c r="AV35" s="54"/>
      <c r="AW35" s="54"/>
      <c r="AX35" s="54"/>
      <c r="AY35" s="54"/>
      <c r="AZ35" s="54"/>
      <c r="BA35" s="54"/>
      <c r="BB35" s="54"/>
      <c r="BC35" s="54"/>
      <c r="BD35" s="54"/>
      <c r="BE35" s="54"/>
      <c r="BF35" s="54"/>
      <c r="BG35" s="54"/>
      <c r="BH35" s="54"/>
      <c r="BI35" s="54"/>
      <c r="BJ35" s="54"/>
      <c r="BK35" s="54"/>
      <c r="BL35" s="54"/>
      <c r="BM35" s="54"/>
      <c r="BN35" s="54"/>
      <c r="BO35" s="54"/>
      <c r="BP35" s="54"/>
      <c r="BQ35" s="54"/>
      <c r="BR35" s="54"/>
      <c r="BS35" s="54"/>
      <c r="BT35" s="54"/>
      <c r="BU35" s="54"/>
      <c r="BV35" s="54"/>
      <c r="BW35" s="54"/>
      <c r="BX35" s="54"/>
      <c r="BY35" s="54"/>
      <c r="BZ35" s="54"/>
      <c r="CA35" s="54"/>
      <c r="CB35" s="54"/>
      <c r="CC35" s="54"/>
      <c r="CD35" s="54"/>
      <c r="CE35" s="54"/>
      <c r="CF35" s="54"/>
      <c r="CG35" s="54"/>
      <c r="CH35" s="54"/>
      <c r="CI35" s="54"/>
      <c r="CJ35" s="54"/>
      <c r="CK35" s="54"/>
      <c r="CL35" s="54"/>
      <c r="CM35" s="54"/>
      <c r="CN35" s="54"/>
      <c r="CO35" s="54"/>
      <c r="CP35" s="54"/>
      <c r="CQ35" s="54"/>
      <c r="CR35" s="54"/>
      <c r="CS35" s="54"/>
      <c r="CT35" s="54"/>
      <c r="CU35" s="54"/>
      <c r="CV35" s="54"/>
      <c r="CW35" s="54"/>
      <c r="CX35" s="54"/>
      <c r="CY35" s="54"/>
      <c r="CZ35" s="54"/>
      <c r="DA35" s="54"/>
      <c r="DB35" s="54"/>
      <c r="DC35" s="54"/>
      <c r="DD35" s="54"/>
      <c r="DE35" s="54"/>
      <c r="DF35" s="54"/>
      <c r="DG35" s="54"/>
      <c r="DH35" s="54"/>
      <c r="DI35" s="54"/>
      <c r="DJ35" s="54"/>
      <c r="DK35" s="54"/>
      <c r="DL35" s="54"/>
      <c r="DM35" s="54"/>
      <c r="DN35" s="54"/>
      <c r="DO35" s="54"/>
      <c r="DP35" s="54"/>
      <c r="DQ35" s="54"/>
      <c r="DR35" s="54"/>
      <c r="DS35" s="54"/>
      <c r="DT35" s="54"/>
      <c r="DU35" s="54"/>
      <c r="DV35" s="54"/>
      <c r="DW35" s="54"/>
      <c r="DX35" s="54"/>
      <c r="DY35" s="54"/>
      <c r="DZ35" s="54"/>
      <c r="EA35" s="54"/>
      <c r="EB35" s="54"/>
      <c r="EC35" s="54"/>
      <c r="ED35" s="54"/>
      <c r="EE35" s="54"/>
      <c r="EF35" s="54"/>
      <c r="EG35" s="54"/>
      <c r="EH35" s="54"/>
    </row>
    <row r="36" spans="1:138" ht="13.5" customHeight="1">
      <c r="A36" s="55" t="s">
        <v>115</v>
      </c>
      <c r="B36" s="56" t="s">
        <v>116</v>
      </c>
      <c r="C36" s="57" t="s">
        <v>90</v>
      </c>
      <c r="D36" s="9" t="s">
        <v>79</v>
      </c>
      <c r="E36" s="10">
        <v>46256</v>
      </c>
      <c r="F36" s="10">
        <v>46267</v>
      </c>
      <c r="G36" s="11" t="str">
        <f t="shared" ref="G36:P41" si="39">IF(AND($E36&lt;&gt;"",$F36&lt;&gt;"",$E36&lt;=G$3,$F36&gt;=G$3),"▪","")</f>
        <v/>
      </c>
      <c r="H36" s="11" t="str">
        <f t="shared" si="39"/>
        <v/>
      </c>
      <c r="I36" s="11" t="str">
        <f t="shared" si="39"/>
        <v/>
      </c>
      <c r="J36" s="11" t="str">
        <f t="shared" si="39"/>
        <v/>
      </c>
      <c r="K36" s="11" t="str">
        <f t="shared" si="39"/>
        <v/>
      </c>
      <c r="L36" s="11" t="str">
        <f t="shared" si="39"/>
        <v/>
      </c>
      <c r="M36" s="11" t="str">
        <f t="shared" si="39"/>
        <v/>
      </c>
      <c r="N36" s="11" t="str">
        <f t="shared" si="39"/>
        <v/>
      </c>
      <c r="O36" s="11" t="str">
        <f t="shared" si="39"/>
        <v/>
      </c>
      <c r="P36" s="11" t="str">
        <f t="shared" si="39"/>
        <v/>
      </c>
      <c r="Q36" s="11" t="str">
        <f t="shared" ref="Q36:Z41" si="40">IF(AND($E36&lt;&gt;"",$F36&lt;&gt;"",$E36&lt;=Q$3,$F36&gt;=Q$3),"▪","")</f>
        <v/>
      </c>
      <c r="R36" s="11" t="str">
        <f t="shared" si="40"/>
        <v/>
      </c>
      <c r="S36" s="11" t="str">
        <f t="shared" si="40"/>
        <v/>
      </c>
      <c r="T36" s="11" t="str">
        <f t="shared" si="40"/>
        <v/>
      </c>
      <c r="U36" s="11" t="str">
        <f t="shared" si="40"/>
        <v/>
      </c>
      <c r="V36" s="11" t="str">
        <f t="shared" si="40"/>
        <v/>
      </c>
      <c r="W36" s="11" t="str">
        <f t="shared" si="40"/>
        <v/>
      </c>
      <c r="X36" s="11" t="str">
        <f t="shared" si="40"/>
        <v/>
      </c>
      <c r="Y36" s="11" t="str">
        <f t="shared" si="40"/>
        <v/>
      </c>
      <c r="Z36" s="11" t="str">
        <f t="shared" si="40"/>
        <v/>
      </c>
      <c r="AA36" s="11" t="str">
        <f t="shared" ref="AA36:AJ41" si="41">IF(AND($E36&lt;&gt;"",$F36&lt;&gt;"",$E36&lt;=AA$3,$F36&gt;=AA$3),"▪","")</f>
        <v/>
      </c>
      <c r="AB36" s="11" t="str">
        <f t="shared" si="41"/>
        <v>▪</v>
      </c>
      <c r="AC36" s="11" t="str">
        <f t="shared" si="41"/>
        <v>▪</v>
      </c>
      <c r="AD36" s="11" t="str">
        <f t="shared" si="41"/>
        <v>▪</v>
      </c>
      <c r="AE36" s="11" t="str">
        <f t="shared" si="41"/>
        <v>▪</v>
      </c>
      <c r="AF36" s="11" t="str">
        <f t="shared" si="41"/>
        <v>▪</v>
      </c>
      <c r="AG36" s="11" t="str">
        <f t="shared" si="41"/>
        <v>▪</v>
      </c>
      <c r="AH36" s="11" t="str">
        <f t="shared" si="41"/>
        <v>▪</v>
      </c>
      <c r="AI36" s="11" t="str">
        <f t="shared" si="41"/>
        <v>▪</v>
      </c>
      <c r="AJ36" s="11" t="str">
        <f t="shared" si="41"/>
        <v>▪</v>
      </c>
      <c r="AK36" s="11" t="str">
        <f t="shared" ref="AK36:AT41" si="42">IF(AND($E36&lt;&gt;"",$F36&lt;&gt;"",$E36&lt;=AK$3,$F36&gt;=AK$3),"▪","")</f>
        <v>▪</v>
      </c>
      <c r="AL36" s="11" t="str">
        <f t="shared" si="42"/>
        <v>▪</v>
      </c>
      <c r="AM36" s="11" t="str">
        <f t="shared" si="42"/>
        <v>▪</v>
      </c>
      <c r="AN36" s="11" t="str">
        <f t="shared" si="42"/>
        <v/>
      </c>
      <c r="AO36" s="11" t="str">
        <f t="shared" si="42"/>
        <v/>
      </c>
      <c r="AP36" s="11" t="str">
        <f t="shared" si="42"/>
        <v/>
      </c>
      <c r="AQ36" s="11" t="str">
        <f t="shared" si="42"/>
        <v/>
      </c>
      <c r="AR36" s="11" t="str">
        <f t="shared" si="42"/>
        <v/>
      </c>
      <c r="AS36" s="11" t="str">
        <f t="shared" si="42"/>
        <v/>
      </c>
      <c r="AT36" s="11" t="str">
        <f t="shared" si="42"/>
        <v/>
      </c>
      <c r="AU36" s="11" t="str">
        <f t="shared" ref="AU36:BD41" si="43">IF(AND($E36&lt;&gt;"",$F36&lt;&gt;"",$E36&lt;=AU$3,$F36&gt;=AU$3),"▪","")</f>
        <v/>
      </c>
      <c r="AV36" s="11" t="str">
        <f t="shared" si="43"/>
        <v/>
      </c>
      <c r="AW36" s="11" t="str">
        <f t="shared" si="43"/>
        <v/>
      </c>
      <c r="AX36" s="11" t="str">
        <f t="shared" si="43"/>
        <v/>
      </c>
      <c r="AY36" s="11" t="str">
        <f t="shared" si="43"/>
        <v/>
      </c>
      <c r="AZ36" s="11" t="str">
        <f t="shared" si="43"/>
        <v/>
      </c>
      <c r="BA36" s="11" t="str">
        <f t="shared" si="43"/>
        <v/>
      </c>
      <c r="BB36" s="11" t="str">
        <f t="shared" si="43"/>
        <v/>
      </c>
      <c r="BC36" s="11" t="str">
        <f t="shared" si="43"/>
        <v/>
      </c>
      <c r="BD36" s="11" t="str">
        <f t="shared" si="43"/>
        <v/>
      </c>
      <c r="BE36" s="11" t="str">
        <f t="shared" ref="BE36:BN41" si="44">IF(AND($E36&lt;&gt;"",$F36&lt;&gt;"",$E36&lt;=BE$3,$F36&gt;=BE$3),"▪","")</f>
        <v/>
      </c>
      <c r="BF36" s="11" t="str">
        <f t="shared" si="44"/>
        <v/>
      </c>
      <c r="BG36" s="11" t="str">
        <f t="shared" si="44"/>
        <v/>
      </c>
      <c r="BH36" s="11" t="str">
        <f t="shared" si="44"/>
        <v/>
      </c>
      <c r="BI36" s="11" t="str">
        <f t="shared" si="44"/>
        <v/>
      </c>
      <c r="BJ36" s="11" t="str">
        <f t="shared" si="44"/>
        <v/>
      </c>
      <c r="BK36" s="11" t="str">
        <f t="shared" si="44"/>
        <v/>
      </c>
      <c r="BL36" s="11" t="str">
        <f t="shared" si="44"/>
        <v/>
      </c>
      <c r="BM36" s="11" t="str">
        <f t="shared" si="44"/>
        <v/>
      </c>
      <c r="BN36" s="11" t="str">
        <f t="shared" si="44"/>
        <v/>
      </c>
      <c r="BO36" s="11" t="str">
        <f t="shared" ref="BO36:BX41" si="45">IF(AND($E36&lt;&gt;"",$F36&lt;&gt;"",$E36&lt;=BO$3,$F36&gt;=BO$3),"▪","")</f>
        <v/>
      </c>
      <c r="BP36" s="11" t="str">
        <f t="shared" si="45"/>
        <v/>
      </c>
      <c r="BQ36" s="11" t="str">
        <f t="shared" si="45"/>
        <v/>
      </c>
      <c r="BR36" s="11" t="str">
        <f t="shared" si="45"/>
        <v/>
      </c>
      <c r="BS36" s="11" t="str">
        <f t="shared" si="45"/>
        <v/>
      </c>
      <c r="BT36" s="11" t="str">
        <f t="shared" si="45"/>
        <v/>
      </c>
      <c r="BU36" s="11" t="str">
        <f t="shared" si="45"/>
        <v/>
      </c>
      <c r="BV36" s="11" t="str">
        <f t="shared" si="45"/>
        <v/>
      </c>
      <c r="BW36" s="11" t="str">
        <f t="shared" si="45"/>
        <v/>
      </c>
      <c r="BX36" s="11" t="str">
        <f t="shared" si="45"/>
        <v/>
      </c>
      <c r="BY36" s="11" t="str">
        <f t="shared" ref="BY36:CH41" si="46">IF(AND($E36&lt;&gt;"",$F36&lt;&gt;"",$E36&lt;=BY$3,$F36&gt;=BY$3),"▪","")</f>
        <v/>
      </c>
      <c r="BZ36" s="11" t="str">
        <f t="shared" si="46"/>
        <v/>
      </c>
      <c r="CA36" s="11" t="str">
        <f t="shared" si="46"/>
        <v/>
      </c>
      <c r="CB36" s="11" t="str">
        <f t="shared" si="46"/>
        <v/>
      </c>
      <c r="CC36" s="11" t="str">
        <f t="shared" si="46"/>
        <v/>
      </c>
      <c r="CD36" s="11" t="str">
        <f t="shared" si="46"/>
        <v/>
      </c>
      <c r="CE36" s="11" t="str">
        <f t="shared" si="46"/>
        <v/>
      </c>
      <c r="CF36" s="11" t="str">
        <f t="shared" si="46"/>
        <v/>
      </c>
      <c r="CG36" s="11" t="str">
        <f t="shared" si="46"/>
        <v/>
      </c>
      <c r="CH36" s="11" t="str">
        <f t="shared" si="46"/>
        <v/>
      </c>
      <c r="CI36" s="11" t="str">
        <f t="shared" ref="CI36:CR41" si="47">IF(AND($E36&lt;&gt;"",$F36&lt;&gt;"",$E36&lt;=CI$3,$F36&gt;=CI$3),"▪","")</f>
        <v/>
      </c>
      <c r="CJ36" s="11" t="str">
        <f t="shared" si="47"/>
        <v/>
      </c>
      <c r="CK36" s="11" t="str">
        <f t="shared" si="47"/>
        <v/>
      </c>
      <c r="CL36" s="11" t="str">
        <f t="shared" si="47"/>
        <v/>
      </c>
      <c r="CM36" s="11" t="str">
        <f t="shared" si="47"/>
        <v/>
      </c>
      <c r="CN36" s="11" t="str">
        <f t="shared" si="47"/>
        <v/>
      </c>
      <c r="CO36" s="11" t="str">
        <f t="shared" si="47"/>
        <v/>
      </c>
      <c r="CP36" s="11" t="str">
        <f t="shared" si="47"/>
        <v/>
      </c>
      <c r="CQ36" s="11" t="str">
        <f t="shared" si="47"/>
        <v/>
      </c>
      <c r="CR36" s="11" t="str">
        <f t="shared" si="47"/>
        <v/>
      </c>
      <c r="CS36" s="11" t="str">
        <f t="shared" ref="CS36:DB41" si="48">IF(AND($E36&lt;&gt;"",$F36&lt;&gt;"",$E36&lt;=CS$3,$F36&gt;=CS$3),"▪","")</f>
        <v/>
      </c>
      <c r="CT36" s="11" t="str">
        <f t="shared" si="48"/>
        <v/>
      </c>
      <c r="CU36" s="11" t="str">
        <f t="shared" si="48"/>
        <v/>
      </c>
      <c r="CV36" s="11" t="str">
        <f t="shared" si="48"/>
        <v/>
      </c>
      <c r="CW36" s="11" t="str">
        <f t="shared" si="48"/>
        <v/>
      </c>
      <c r="CX36" s="11" t="str">
        <f t="shared" si="48"/>
        <v/>
      </c>
      <c r="CY36" s="11" t="str">
        <f t="shared" si="48"/>
        <v/>
      </c>
      <c r="CZ36" s="11" t="str">
        <f t="shared" si="48"/>
        <v/>
      </c>
      <c r="DA36" s="11" t="str">
        <f t="shared" si="48"/>
        <v/>
      </c>
      <c r="DB36" s="11" t="str">
        <f t="shared" si="48"/>
        <v/>
      </c>
      <c r="DC36" s="11" t="str">
        <f t="shared" ref="DC36:DL41" si="49">IF(AND($E36&lt;&gt;"",$F36&lt;&gt;"",$E36&lt;=DC$3,$F36&gt;=DC$3),"▪","")</f>
        <v/>
      </c>
      <c r="DD36" s="11" t="str">
        <f t="shared" si="49"/>
        <v/>
      </c>
      <c r="DE36" s="11" t="str">
        <f t="shared" si="49"/>
        <v/>
      </c>
      <c r="DF36" s="11" t="str">
        <f t="shared" si="49"/>
        <v/>
      </c>
      <c r="DG36" s="11" t="str">
        <f t="shared" si="49"/>
        <v/>
      </c>
      <c r="DH36" s="11" t="str">
        <f t="shared" si="49"/>
        <v/>
      </c>
      <c r="DI36" s="11" t="str">
        <f t="shared" si="49"/>
        <v/>
      </c>
      <c r="DJ36" s="11" t="str">
        <f t="shared" si="49"/>
        <v/>
      </c>
      <c r="DK36" s="11" t="str">
        <f t="shared" si="49"/>
        <v/>
      </c>
      <c r="DL36" s="11" t="str">
        <f t="shared" si="49"/>
        <v/>
      </c>
      <c r="DM36" s="11" t="str">
        <f t="shared" ref="DM36:DV41" si="50">IF(AND($E36&lt;&gt;"",$F36&lt;&gt;"",$E36&lt;=DM$3,$F36&gt;=DM$3),"▪","")</f>
        <v/>
      </c>
      <c r="DN36" s="11" t="str">
        <f t="shared" si="50"/>
        <v/>
      </c>
      <c r="DO36" s="11" t="str">
        <f t="shared" si="50"/>
        <v/>
      </c>
      <c r="DP36" s="11" t="str">
        <f t="shared" si="50"/>
        <v/>
      </c>
      <c r="DQ36" s="11" t="str">
        <f t="shared" si="50"/>
        <v/>
      </c>
      <c r="DR36" s="11" t="str">
        <f t="shared" si="50"/>
        <v/>
      </c>
      <c r="DS36" s="11" t="str">
        <f t="shared" si="50"/>
        <v/>
      </c>
      <c r="DT36" s="11" t="str">
        <f t="shared" si="50"/>
        <v/>
      </c>
      <c r="DU36" s="11" t="str">
        <f t="shared" si="50"/>
        <v/>
      </c>
      <c r="DV36" s="11" t="str">
        <f t="shared" si="50"/>
        <v/>
      </c>
      <c r="DW36" s="11" t="str">
        <f t="shared" ref="DW36:EH41" si="51">IF(AND($E36&lt;&gt;"",$F36&lt;&gt;"",$E36&lt;=DW$3,$F36&gt;=DW$3),"▪","")</f>
        <v/>
      </c>
      <c r="DX36" s="11" t="str">
        <f t="shared" si="51"/>
        <v/>
      </c>
      <c r="DY36" s="11" t="str">
        <f t="shared" si="51"/>
        <v/>
      </c>
      <c r="DZ36" s="11" t="str">
        <f t="shared" si="51"/>
        <v/>
      </c>
      <c r="EA36" s="11" t="str">
        <f t="shared" si="51"/>
        <v/>
      </c>
      <c r="EB36" s="11" t="str">
        <f t="shared" si="51"/>
        <v/>
      </c>
      <c r="EC36" s="11" t="str">
        <f t="shared" si="51"/>
        <v/>
      </c>
      <c r="ED36" s="11" t="str">
        <f t="shared" si="51"/>
        <v/>
      </c>
      <c r="EE36" s="11" t="str">
        <f t="shared" si="51"/>
        <v/>
      </c>
      <c r="EF36" s="11" t="str">
        <f t="shared" si="51"/>
        <v/>
      </c>
      <c r="EG36" s="11" t="str">
        <f t="shared" si="51"/>
        <v/>
      </c>
      <c r="EH36" s="11" t="str">
        <f t="shared" si="51"/>
        <v/>
      </c>
    </row>
    <row r="37" spans="1:138" ht="13.5" customHeight="1">
      <c r="A37" s="55"/>
      <c r="B37" s="55"/>
      <c r="C37" s="55"/>
      <c r="D37" s="12" t="s">
        <v>80</v>
      </c>
      <c r="E37" s="10">
        <v>46258</v>
      </c>
      <c r="F37" s="10">
        <v>46265</v>
      </c>
      <c r="G37" s="13" t="str">
        <f t="shared" si="39"/>
        <v/>
      </c>
      <c r="H37" s="13" t="str">
        <f t="shared" si="39"/>
        <v/>
      </c>
      <c r="I37" s="13" t="str">
        <f t="shared" si="39"/>
        <v/>
      </c>
      <c r="J37" s="13" t="str">
        <f t="shared" si="39"/>
        <v/>
      </c>
      <c r="K37" s="13" t="str">
        <f t="shared" si="39"/>
        <v/>
      </c>
      <c r="L37" s="13" t="str">
        <f t="shared" si="39"/>
        <v/>
      </c>
      <c r="M37" s="13" t="str">
        <f t="shared" si="39"/>
        <v/>
      </c>
      <c r="N37" s="13" t="str">
        <f t="shared" si="39"/>
        <v/>
      </c>
      <c r="O37" s="13" t="str">
        <f t="shared" si="39"/>
        <v/>
      </c>
      <c r="P37" s="13" t="str">
        <f t="shared" si="39"/>
        <v/>
      </c>
      <c r="Q37" s="13" t="str">
        <f t="shared" si="40"/>
        <v/>
      </c>
      <c r="R37" s="13" t="str">
        <f t="shared" si="40"/>
        <v/>
      </c>
      <c r="S37" s="13" t="str">
        <f t="shared" si="40"/>
        <v/>
      </c>
      <c r="T37" s="13" t="str">
        <f t="shared" si="40"/>
        <v/>
      </c>
      <c r="U37" s="13" t="str">
        <f t="shared" si="40"/>
        <v/>
      </c>
      <c r="V37" s="13" t="str">
        <f t="shared" si="40"/>
        <v/>
      </c>
      <c r="W37" s="13" t="str">
        <f t="shared" si="40"/>
        <v/>
      </c>
      <c r="X37" s="13" t="str">
        <f t="shared" si="40"/>
        <v/>
      </c>
      <c r="Y37" s="13" t="str">
        <f t="shared" si="40"/>
        <v/>
      </c>
      <c r="Z37" s="13" t="str">
        <f t="shared" si="40"/>
        <v/>
      </c>
      <c r="AA37" s="13" t="str">
        <f t="shared" si="41"/>
        <v/>
      </c>
      <c r="AB37" s="13" t="str">
        <f t="shared" si="41"/>
        <v/>
      </c>
      <c r="AC37" s="13" t="str">
        <f t="shared" si="41"/>
        <v/>
      </c>
      <c r="AD37" s="13" t="str">
        <f t="shared" si="41"/>
        <v>▪</v>
      </c>
      <c r="AE37" s="13" t="str">
        <f t="shared" si="41"/>
        <v>▪</v>
      </c>
      <c r="AF37" s="13" t="str">
        <f t="shared" si="41"/>
        <v>▪</v>
      </c>
      <c r="AG37" s="13" t="str">
        <f t="shared" si="41"/>
        <v>▪</v>
      </c>
      <c r="AH37" s="13" t="str">
        <f t="shared" si="41"/>
        <v>▪</v>
      </c>
      <c r="AI37" s="13" t="str">
        <f t="shared" si="41"/>
        <v>▪</v>
      </c>
      <c r="AJ37" s="13" t="str">
        <f t="shared" si="41"/>
        <v>▪</v>
      </c>
      <c r="AK37" s="13" t="str">
        <f t="shared" si="42"/>
        <v>▪</v>
      </c>
      <c r="AL37" s="13" t="str">
        <f t="shared" si="42"/>
        <v/>
      </c>
      <c r="AM37" s="13" t="str">
        <f t="shared" si="42"/>
        <v/>
      </c>
      <c r="AN37" s="13" t="str">
        <f t="shared" si="42"/>
        <v/>
      </c>
      <c r="AO37" s="13" t="str">
        <f t="shared" si="42"/>
        <v/>
      </c>
      <c r="AP37" s="13" t="str">
        <f t="shared" si="42"/>
        <v/>
      </c>
      <c r="AQ37" s="13" t="str">
        <f t="shared" si="42"/>
        <v/>
      </c>
      <c r="AR37" s="13" t="str">
        <f t="shared" si="42"/>
        <v/>
      </c>
      <c r="AS37" s="13" t="str">
        <f t="shared" si="42"/>
        <v/>
      </c>
      <c r="AT37" s="13" t="str">
        <f t="shared" si="42"/>
        <v/>
      </c>
      <c r="AU37" s="13" t="str">
        <f t="shared" si="43"/>
        <v/>
      </c>
      <c r="AV37" s="13" t="str">
        <f t="shared" si="43"/>
        <v/>
      </c>
      <c r="AW37" s="13" t="str">
        <f t="shared" si="43"/>
        <v/>
      </c>
      <c r="AX37" s="13" t="str">
        <f t="shared" si="43"/>
        <v/>
      </c>
      <c r="AY37" s="13" t="str">
        <f t="shared" si="43"/>
        <v/>
      </c>
      <c r="AZ37" s="13" t="str">
        <f t="shared" si="43"/>
        <v/>
      </c>
      <c r="BA37" s="13" t="str">
        <f t="shared" si="43"/>
        <v/>
      </c>
      <c r="BB37" s="13" t="str">
        <f t="shared" si="43"/>
        <v/>
      </c>
      <c r="BC37" s="13" t="str">
        <f t="shared" si="43"/>
        <v/>
      </c>
      <c r="BD37" s="13" t="str">
        <f t="shared" si="43"/>
        <v/>
      </c>
      <c r="BE37" s="13" t="str">
        <f t="shared" si="44"/>
        <v/>
      </c>
      <c r="BF37" s="13" t="str">
        <f t="shared" si="44"/>
        <v/>
      </c>
      <c r="BG37" s="13" t="str">
        <f t="shared" si="44"/>
        <v/>
      </c>
      <c r="BH37" s="13" t="str">
        <f t="shared" si="44"/>
        <v/>
      </c>
      <c r="BI37" s="13" t="str">
        <f t="shared" si="44"/>
        <v/>
      </c>
      <c r="BJ37" s="13" t="str">
        <f t="shared" si="44"/>
        <v/>
      </c>
      <c r="BK37" s="13" t="str">
        <f t="shared" si="44"/>
        <v/>
      </c>
      <c r="BL37" s="13" t="str">
        <f t="shared" si="44"/>
        <v/>
      </c>
      <c r="BM37" s="13" t="str">
        <f t="shared" si="44"/>
        <v/>
      </c>
      <c r="BN37" s="13" t="str">
        <f t="shared" si="44"/>
        <v/>
      </c>
      <c r="BO37" s="13" t="str">
        <f t="shared" si="45"/>
        <v/>
      </c>
      <c r="BP37" s="13" t="str">
        <f t="shared" si="45"/>
        <v/>
      </c>
      <c r="BQ37" s="13" t="str">
        <f t="shared" si="45"/>
        <v/>
      </c>
      <c r="BR37" s="13" t="str">
        <f t="shared" si="45"/>
        <v/>
      </c>
      <c r="BS37" s="13" t="str">
        <f t="shared" si="45"/>
        <v/>
      </c>
      <c r="BT37" s="13" t="str">
        <f t="shared" si="45"/>
        <v/>
      </c>
      <c r="BU37" s="13" t="str">
        <f t="shared" si="45"/>
        <v/>
      </c>
      <c r="BV37" s="13" t="str">
        <f t="shared" si="45"/>
        <v/>
      </c>
      <c r="BW37" s="13" t="str">
        <f t="shared" si="45"/>
        <v/>
      </c>
      <c r="BX37" s="13" t="str">
        <f t="shared" si="45"/>
        <v/>
      </c>
      <c r="BY37" s="13" t="str">
        <f t="shared" si="46"/>
        <v/>
      </c>
      <c r="BZ37" s="13" t="str">
        <f t="shared" si="46"/>
        <v/>
      </c>
      <c r="CA37" s="13" t="str">
        <f t="shared" si="46"/>
        <v/>
      </c>
      <c r="CB37" s="13" t="str">
        <f t="shared" si="46"/>
        <v/>
      </c>
      <c r="CC37" s="13" t="str">
        <f t="shared" si="46"/>
        <v/>
      </c>
      <c r="CD37" s="13" t="str">
        <f t="shared" si="46"/>
        <v/>
      </c>
      <c r="CE37" s="13" t="str">
        <f t="shared" si="46"/>
        <v/>
      </c>
      <c r="CF37" s="13" t="str">
        <f t="shared" si="46"/>
        <v/>
      </c>
      <c r="CG37" s="13" t="str">
        <f t="shared" si="46"/>
        <v/>
      </c>
      <c r="CH37" s="13" t="str">
        <f t="shared" si="46"/>
        <v/>
      </c>
      <c r="CI37" s="13" t="str">
        <f t="shared" si="47"/>
        <v/>
      </c>
      <c r="CJ37" s="13" t="str">
        <f t="shared" si="47"/>
        <v/>
      </c>
      <c r="CK37" s="13" t="str">
        <f t="shared" si="47"/>
        <v/>
      </c>
      <c r="CL37" s="13" t="str">
        <f t="shared" si="47"/>
        <v/>
      </c>
      <c r="CM37" s="13" t="str">
        <f t="shared" si="47"/>
        <v/>
      </c>
      <c r="CN37" s="13" t="str">
        <f t="shared" si="47"/>
        <v/>
      </c>
      <c r="CO37" s="13" t="str">
        <f t="shared" si="47"/>
        <v/>
      </c>
      <c r="CP37" s="13" t="str">
        <f t="shared" si="47"/>
        <v/>
      </c>
      <c r="CQ37" s="13" t="str">
        <f t="shared" si="47"/>
        <v/>
      </c>
      <c r="CR37" s="13" t="str">
        <f t="shared" si="47"/>
        <v/>
      </c>
      <c r="CS37" s="13" t="str">
        <f t="shared" si="48"/>
        <v/>
      </c>
      <c r="CT37" s="13" t="str">
        <f t="shared" si="48"/>
        <v/>
      </c>
      <c r="CU37" s="13" t="str">
        <f t="shared" si="48"/>
        <v/>
      </c>
      <c r="CV37" s="13" t="str">
        <f t="shared" si="48"/>
        <v/>
      </c>
      <c r="CW37" s="13" t="str">
        <f t="shared" si="48"/>
        <v/>
      </c>
      <c r="CX37" s="13" t="str">
        <f t="shared" si="48"/>
        <v/>
      </c>
      <c r="CY37" s="13" t="str">
        <f t="shared" si="48"/>
        <v/>
      </c>
      <c r="CZ37" s="13" t="str">
        <f t="shared" si="48"/>
        <v/>
      </c>
      <c r="DA37" s="13" t="str">
        <f t="shared" si="48"/>
        <v/>
      </c>
      <c r="DB37" s="13" t="str">
        <f t="shared" si="48"/>
        <v/>
      </c>
      <c r="DC37" s="13" t="str">
        <f t="shared" si="49"/>
        <v/>
      </c>
      <c r="DD37" s="13" t="str">
        <f t="shared" si="49"/>
        <v/>
      </c>
      <c r="DE37" s="13" t="str">
        <f t="shared" si="49"/>
        <v/>
      </c>
      <c r="DF37" s="13" t="str">
        <f t="shared" si="49"/>
        <v/>
      </c>
      <c r="DG37" s="13" t="str">
        <f t="shared" si="49"/>
        <v/>
      </c>
      <c r="DH37" s="13" t="str">
        <f t="shared" si="49"/>
        <v/>
      </c>
      <c r="DI37" s="13" t="str">
        <f t="shared" si="49"/>
        <v/>
      </c>
      <c r="DJ37" s="13" t="str">
        <f t="shared" si="49"/>
        <v/>
      </c>
      <c r="DK37" s="13" t="str">
        <f t="shared" si="49"/>
        <v/>
      </c>
      <c r="DL37" s="13" t="str">
        <f t="shared" si="49"/>
        <v/>
      </c>
      <c r="DM37" s="13" t="str">
        <f t="shared" si="50"/>
        <v/>
      </c>
      <c r="DN37" s="13" t="str">
        <f t="shared" si="50"/>
        <v/>
      </c>
      <c r="DO37" s="13" t="str">
        <f t="shared" si="50"/>
        <v/>
      </c>
      <c r="DP37" s="13" t="str">
        <f t="shared" si="50"/>
        <v/>
      </c>
      <c r="DQ37" s="13" t="str">
        <f t="shared" si="50"/>
        <v/>
      </c>
      <c r="DR37" s="13" t="str">
        <f t="shared" si="50"/>
        <v/>
      </c>
      <c r="DS37" s="13" t="str">
        <f t="shared" si="50"/>
        <v/>
      </c>
      <c r="DT37" s="13" t="str">
        <f t="shared" si="50"/>
        <v/>
      </c>
      <c r="DU37" s="13" t="str">
        <f t="shared" si="50"/>
        <v/>
      </c>
      <c r="DV37" s="13" t="str">
        <f t="shared" si="50"/>
        <v/>
      </c>
      <c r="DW37" s="13" t="str">
        <f t="shared" si="51"/>
        <v/>
      </c>
      <c r="DX37" s="13" t="str">
        <f t="shared" si="51"/>
        <v/>
      </c>
      <c r="DY37" s="13" t="str">
        <f t="shared" si="51"/>
        <v/>
      </c>
      <c r="DZ37" s="13" t="str">
        <f t="shared" si="51"/>
        <v/>
      </c>
      <c r="EA37" s="13" t="str">
        <f t="shared" si="51"/>
        <v/>
      </c>
      <c r="EB37" s="13" t="str">
        <f t="shared" si="51"/>
        <v/>
      </c>
      <c r="EC37" s="13" t="str">
        <f t="shared" si="51"/>
        <v/>
      </c>
      <c r="ED37" s="13" t="str">
        <f t="shared" si="51"/>
        <v/>
      </c>
      <c r="EE37" s="13" t="str">
        <f t="shared" si="51"/>
        <v/>
      </c>
      <c r="EF37" s="13" t="str">
        <f t="shared" si="51"/>
        <v/>
      </c>
      <c r="EG37" s="13" t="str">
        <f t="shared" si="51"/>
        <v/>
      </c>
      <c r="EH37" s="13" t="str">
        <f t="shared" si="51"/>
        <v/>
      </c>
    </row>
    <row r="38" spans="1:138" ht="13.5" customHeight="1">
      <c r="A38" s="55" t="s">
        <v>117</v>
      </c>
      <c r="B38" s="56" t="s">
        <v>118</v>
      </c>
      <c r="C38" s="57" t="s">
        <v>90</v>
      </c>
      <c r="D38" s="9" t="s">
        <v>79</v>
      </c>
      <c r="E38" s="10">
        <v>46268</v>
      </c>
      <c r="F38" s="10">
        <v>46276</v>
      </c>
      <c r="G38" s="11" t="str">
        <f t="shared" si="39"/>
        <v/>
      </c>
      <c r="H38" s="11" t="str">
        <f t="shared" si="39"/>
        <v/>
      </c>
      <c r="I38" s="11" t="str">
        <f t="shared" si="39"/>
        <v/>
      </c>
      <c r="J38" s="11" t="str">
        <f t="shared" si="39"/>
        <v/>
      </c>
      <c r="K38" s="11" t="str">
        <f t="shared" si="39"/>
        <v/>
      </c>
      <c r="L38" s="11" t="str">
        <f t="shared" si="39"/>
        <v/>
      </c>
      <c r="M38" s="11" t="str">
        <f t="shared" si="39"/>
        <v/>
      </c>
      <c r="N38" s="11" t="str">
        <f t="shared" si="39"/>
        <v/>
      </c>
      <c r="O38" s="11" t="str">
        <f t="shared" si="39"/>
        <v/>
      </c>
      <c r="P38" s="11" t="str">
        <f t="shared" si="39"/>
        <v/>
      </c>
      <c r="Q38" s="11" t="str">
        <f t="shared" si="40"/>
        <v/>
      </c>
      <c r="R38" s="11" t="str">
        <f t="shared" si="40"/>
        <v/>
      </c>
      <c r="S38" s="11" t="str">
        <f t="shared" si="40"/>
        <v/>
      </c>
      <c r="T38" s="11" t="str">
        <f t="shared" si="40"/>
        <v/>
      </c>
      <c r="U38" s="11" t="str">
        <f t="shared" si="40"/>
        <v/>
      </c>
      <c r="V38" s="11" t="str">
        <f t="shared" si="40"/>
        <v/>
      </c>
      <c r="W38" s="11" t="str">
        <f t="shared" si="40"/>
        <v/>
      </c>
      <c r="X38" s="11" t="str">
        <f t="shared" si="40"/>
        <v/>
      </c>
      <c r="Y38" s="11" t="str">
        <f t="shared" si="40"/>
        <v/>
      </c>
      <c r="Z38" s="11" t="str">
        <f t="shared" si="40"/>
        <v/>
      </c>
      <c r="AA38" s="11" t="str">
        <f t="shared" si="41"/>
        <v/>
      </c>
      <c r="AB38" s="11" t="str">
        <f t="shared" si="41"/>
        <v/>
      </c>
      <c r="AC38" s="11" t="str">
        <f t="shared" si="41"/>
        <v/>
      </c>
      <c r="AD38" s="11" t="str">
        <f t="shared" si="41"/>
        <v/>
      </c>
      <c r="AE38" s="11" t="str">
        <f t="shared" si="41"/>
        <v/>
      </c>
      <c r="AF38" s="11" t="str">
        <f t="shared" si="41"/>
        <v/>
      </c>
      <c r="AG38" s="11" t="str">
        <f t="shared" si="41"/>
        <v/>
      </c>
      <c r="AH38" s="11" t="str">
        <f t="shared" si="41"/>
        <v/>
      </c>
      <c r="AI38" s="11" t="str">
        <f t="shared" si="41"/>
        <v/>
      </c>
      <c r="AJ38" s="11" t="str">
        <f t="shared" si="41"/>
        <v/>
      </c>
      <c r="AK38" s="11" t="str">
        <f t="shared" si="42"/>
        <v/>
      </c>
      <c r="AL38" s="11" t="str">
        <f t="shared" si="42"/>
        <v/>
      </c>
      <c r="AM38" s="11" t="str">
        <f t="shared" si="42"/>
        <v/>
      </c>
      <c r="AN38" s="11" t="str">
        <f t="shared" si="42"/>
        <v>▪</v>
      </c>
      <c r="AO38" s="11" t="str">
        <f t="shared" si="42"/>
        <v>▪</v>
      </c>
      <c r="AP38" s="11" t="str">
        <f t="shared" si="42"/>
        <v>▪</v>
      </c>
      <c r="AQ38" s="11" t="str">
        <f t="shared" si="42"/>
        <v>▪</v>
      </c>
      <c r="AR38" s="11" t="str">
        <f t="shared" si="42"/>
        <v>▪</v>
      </c>
      <c r="AS38" s="11" t="str">
        <f t="shared" si="42"/>
        <v>▪</v>
      </c>
      <c r="AT38" s="11" t="str">
        <f t="shared" si="42"/>
        <v>▪</v>
      </c>
      <c r="AU38" s="11" t="str">
        <f t="shared" si="43"/>
        <v>▪</v>
      </c>
      <c r="AV38" s="11" t="str">
        <f t="shared" si="43"/>
        <v>▪</v>
      </c>
      <c r="AW38" s="11" t="str">
        <f t="shared" si="43"/>
        <v/>
      </c>
      <c r="AX38" s="11" t="str">
        <f t="shared" si="43"/>
        <v/>
      </c>
      <c r="AY38" s="11" t="str">
        <f t="shared" si="43"/>
        <v/>
      </c>
      <c r="AZ38" s="11" t="str">
        <f t="shared" si="43"/>
        <v/>
      </c>
      <c r="BA38" s="11" t="str">
        <f t="shared" si="43"/>
        <v/>
      </c>
      <c r="BB38" s="11" t="str">
        <f t="shared" si="43"/>
        <v/>
      </c>
      <c r="BC38" s="11" t="str">
        <f t="shared" si="43"/>
        <v/>
      </c>
      <c r="BD38" s="11" t="str">
        <f t="shared" si="43"/>
        <v/>
      </c>
      <c r="BE38" s="11" t="str">
        <f t="shared" si="44"/>
        <v/>
      </c>
      <c r="BF38" s="11" t="str">
        <f t="shared" si="44"/>
        <v/>
      </c>
      <c r="BG38" s="11" t="str">
        <f t="shared" si="44"/>
        <v/>
      </c>
      <c r="BH38" s="11" t="str">
        <f t="shared" si="44"/>
        <v/>
      </c>
      <c r="BI38" s="11" t="str">
        <f t="shared" si="44"/>
        <v/>
      </c>
      <c r="BJ38" s="11" t="str">
        <f t="shared" si="44"/>
        <v/>
      </c>
      <c r="BK38" s="11" t="str">
        <f t="shared" si="44"/>
        <v/>
      </c>
      <c r="BL38" s="11" t="str">
        <f t="shared" si="44"/>
        <v/>
      </c>
      <c r="BM38" s="11" t="str">
        <f t="shared" si="44"/>
        <v/>
      </c>
      <c r="BN38" s="11" t="str">
        <f t="shared" si="44"/>
        <v/>
      </c>
      <c r="BO38" s="11" t="str">
        <f t="shared" si="45"/>
        <v/>
      </c>
      <c r="BP38" s="11" t="str">
        <f t="shared" si="45"/>
        <v/>
      </c>
      <c r="BQ38" s="11" t="str">
        <f t="shared" si="45"/>
        <v/>
      </c>
      <c r="BR38" s="11" t="str">
        <f t="shared" si="45"/>
        <v/>
      </c>
      <c r="BS38" s="11" t="str">
        <f t="shared" si="45"/>
        <v/>
      </c>
      <c r="BT38" s="11" t="str">
        <f t="shared" si="45"/>
        <v/>
      </c>
      <c r="BU38" s="11" t="str">
        <f t="shared" si="45"/>
        <v/>
      </c>
      <c r="BV38" s="11" t="str">
        <f t="shared" si="45"/>
        <v/>
      </c>
      <c r="BW38" s="11" t="str">
        <f t="shared" si="45"/>
        <v/>
      </c>
      <c r="BX38" s="11" t="str">
        <f t="shared" si="45"/>
        <v/>
      </c>
      <c r="BY38" s="11" t="str">
        <f t="shared" si="46"/>
        <v/>
      </c>
      <c r="BZ38" s="11" t="str">
        <f t="shared" si="46"/>
        <v/>
      </c>
      <c r="CA38" s="11" t="str">
        <f t="shared" si="46"/>
        <v/>
      </c>
      <c r="CB38" s="11" t="str">
        <f t="shared" si="46"/>
        <v/>
      </c>
      <c r="CC38" s="11" t="str">
        <f t="shared" si="46"/>
        <v/>
      </c>
      <c r="CD38" s="11" t="str">
        <f t="shared" si="46"/>
        <v/>
      </c>
      <c r="CE38" s="11" t="str">
        <f t="shared" si="46"/>
        <v/>
      </c>
      <c r="CF38" s="11" t="str">
        <f t="shared" si="46"/>
        <v/>
      </c>
      <c r="CG38" s="11" t="str">
        <f t="shared" si="46"/>
        <v/>
      </c>
      <c r="CH38" s="11" t="str">
        <f t="shared" si="46"/>
        <v/>
      </c>
      <c r="CI38" s="11" t="str">
        <f t="shared" si="47"/>
        <v/>
      </c>
      <c r="CJ38" s="11" t="str">
        <f t="shared" si="47"/>
        <v/>
      </c>
      <c r="CK38" s="11" t="str">
        <f t="shared" si="47"/>
        <v/>
      </c>
      <c r="CL38" s="11" t="str">
        <f t="shared" si="47"/>
        <v/>
      </c>
      <c r="CM38" s="11" t="str">
        <f t="shared" si="47"/>
        <v/>
      </c>
      <c r="CN38" s="11" t="str">
        <f t="shared" si="47"/>
        <v/>
      </c>
      <c r="CO38" s="11" t="str">
        <f t="shared" si="47"/>
        <v/>
      </c>
      <c r="CP38" s="11" t="str">
        <f t="shared" si="47"/>
        <v/>
      </c>
      <c r="CQ38" s="11" t="str">
        <f t="shared" si="47"/>
        <v/>
      </c>
      <c r="CR38" s="11" t="str">
        <f t="shared" si="47"/>
        <v/>
      </c>
      <c r="CS38" s="11" t="str">
        <f t="shared" si="48"/>
        <v/>
      </c>
      <c r="CT38" s="11" t="str">
        <f t="shared" si="48"/>
        <v/>
      </c>
      <c r="CU38" s="11" t="str">
        <f t="shared" si="48"/>
        <v/>
      </c>
      <c r="CV38" s="11" t="str">
        <f t="shared" si="48"/>
        <v/>
      </c>
      <c r="CW38" s="11" t="str">
        <f t="shared" si="48"/>
        <v/>
      </c>
      <c r="CX38" s="11" t="str">
        <f t="shared" si="48"/>
        <v/>
      </c>
      <c r="CY38" s="11" t="str">
        <f t="shared" si="48"/>
        <v/>
      </c>
      <c r="CZ38" s="11" t="str">
        <f t="shared" si="48"/>
        <v/>
      </c>
      <c r="DA38" s="11" t="str">
        <f t="shared" si="48"/>
        <v/>
      </c>
      <c r="DB38" s="11" t="str">
        <f t="shared" si="48"/>
        <v/>
      </c>
      <c r="DC38" s="11" t="str">
        <f t="shared" si="49"/>
        <v/>
      </c>
      <c r="DD38" s="11" t="str">
        <f t="shared" si="49"/>
        <v/>
      </c>
      <c r="DE38" s="11" t="str">
        <f t="shared" si="49"/>
        <v/>
      </c>
      <c r="DF38" s="11" t="str">
        <f t="shared" si="49"/>
        <v/>
      </c>
      <c r="DG38" s="11" t="str">
        <f t="shared" si="49"/>
        <v/>
      </c>
      <c r="DH38" s="11" t="str">
        <f t="shared" si="49"/>
        <v/>
      </c>
      <c r="DI38" s="11" t="str">
        <f t="shared" si="49"/>
        <v/>
      </c>
      <c r="DJ38" s="11" t="str">
        <f t="shared" si="49"/>
        <v/>
      </c>
      <c r="DK38" s="11" t="str">
        <f t="shared" si="49"/>
        <v/>
      </c>
      <c r="DL38" s="11" t="str">
        <f t="shared" si="49"/>
        <v/>
      </c>
      <c r="DM38" s="11" t="str">
        <f t="shared" si="50"/>
        <v/>
      </c>
      <c r="DN38" s="11" t="str">
        <f t="shared" si="50"/>
        <v/>
      </c>
      <c r="DO38" s="11" t="str">
        <f t="shared" si="50"/>
        <v/>
      </c>
      <c r="DP38" s="11" t="str">
        <f t="shared" si="50"/>
        <v/>
      </c>
      <c r="DQ38" s="11" t="str">
        <f t="shared" si="50"/>
        <v/>
      </c>
      <c r="DR38" s="11" t="str">
        <f t="shared" si="50"/>
        <v/>
      </c>
      <c r="DS38" s="11" t="str">
        <f t="shared" si="50"/>
        <v/>
      </c>
      <c r="DT38" s="11" t="str">
        <f t="shared" si="50"/>
        <v/>
      </c>
      <c r="DU38" s="11" t="str">
        <f t="shared" si="50"/>
        <v/>
      </c>
      <c r="DV38" s="11" t="str">
        <f t="shared" si="50"/>
        <v/>
      </c>
      <c r="DW38" s="11" t="str">
        <f t="shared" si="51"/>
        <v/>
      </c>
      <c r="DX38" s="11" t="str">
        <f t="shared" si="51"/>
        <v/>
      </c>
      <c r="DY38" s="11" t="str">
        <f t="shared" si="51"/>
        <v/>
      </c>
      <c r="DZ38" s="11" t="str">
        <f t="shared" si="51"/>
        <v/>
      </c>
      <c r="EA38" s="11" t="str">
        <f t="shared" si="51"/>
        <v/>
      </c>
      <c r="EB38" s="11" t="str">
        <f t="shared" si="51"/>
        <v/>
      </c>
      <c r="EC38" s="11" t="str">
        <f t="shared" si="51"/>
        <v/>
      </c>
      <c r="ED38" s="11" t="str">
        <f t="shared" si="51"/>
        <v/>
      </c>
      <c r="EE38" s="11" t="str">
        <f t="shared" si="51"/>
        <v/>
      </c>
      <c r="EF38" s="11" t="str">
        <f t="shared" si="51"/>
        <v/>
      </c>
      <c r="EG38" s="11" t="str">
        <f t="shared" si="51"/>
        <v/>
      </c>
      <c r="EH38" s="11" t="str">
        <f t="shared" si="51"/>
        <v/>
      </c>
    </row>
    <row r="39" spans="1:138" ht="13.5" customHeight="1">
      <c r="A39" s="55"/>
      <c r="B39" s="55"/>
      <c r="C39" s="55"/>
      <c r="D39" s="12" t="s">
        <v>80</v>
      </c>
      <c r="E39" s="10">
        <v>46265</v>
      </c>
      <c r="F39" s="10">
        <v>46266</v>
      </c>
      <c r="G39" s="13" t="str">
        <f t="shared" si="39"/>
        <v/>
      </c>
      <c r="H39" s="13" t="str">
        <f t="shared" si="39"/>
        <v/>
      </c>
      <c r="I39" s="13" t="str">
        <f t="shared" si="39"/>
        <v/>
      </c>
      <c r="J39" s="13" t="str">
        <f t="shared" si="39"/>
        <v/>
      </c>
      <c r="K39" s="13" t="str">
        <f t="shared" si="39"/>
        <v/>
      </c>
      <c r="L39" s="13" t="str">
        <f t="shared" si="39"/>
        <v/>
      </c>
      <c r="M39" s="13" t="str">
        <f t="shared" si="39"/>
        <v/>
      </c>
      <c r="N39" s="13" t="str">
        <f t="shared" si="39"/>
        <v/>
      </c>
      <c r="O39" s="13" t="str">
        <f t="shared" si="39"/>
        <v/>
      </c>
      <c r="P39" s="13" t="str">
        <f t="shared" si="39"/>
        <v/>
      </c>
      <c r="Q39" s="13" t="str">
        <f t="shared" si="40"/>
        <v/>
      </c>
      <c r="R39" s="13" t="str">
        <f t="shared" si="40"/>
        <v/>
      </c>
      <c r="S39" s="13" t="str">
        <f t="shared" si="40"/>
        <v/>
      </c>
      <c r="T39" s="13" t="str">
        <f t="shared" si="40"/>
        <v/>
      </c>
      <c r="U39" s="13" t="str">
        <f t="shared" si="40"/>
        <v/>
      </c>
      <c r="V39" s="13" t="str">
        <f t="shared" si="40"/>
        <v/>
      </c>
      <c r="W39" s="13" t="str">
        <f t="shared" si="40"/>
        <v/>
      </c>
      <c r="X39" s="13" t="str">
        <f t="shared" si="40"/>
        <v/>
      </c>
      <c r="Y39" s="13" t="str">
        <f t="shared" si="40"/>
        <v/>
      </c>
      <c r="Z39" s="13" t="str">
        <f t="shared" si="40"/>
        <v/>
      </c>
      <c r="AA39" s="13" t="str">
        <f t="shared" si="41"/>
        <v/>
      </c>
      <c r="AB39" s="13" t="str">
        <f t="shared" si="41"/>
        <v/>
      </c>
      <c r="AC39" s="13" t="str">
        <f t="shared" si="41"/>
        <v/>
      </c>
      <c r="AD39" s="13" t="str">
        <f t="shared" si="41"/>
        <v/>
      </c>
      <c r="AE39" s="13" t="str">
        <f t="shared" si="41"/>
        <v/>
      </c>
      <c r="AF39" s="13" t="str">
        <f t="shared" si="41"/>
        <v/>
      </c>
      <c r="AG39" s="13" t="str">
        <f t="shared" si="41"/>
        <v/>
      </c>
      <c r="AH39" s="13" t="str">
        <f t="shared" si="41"/>
        <v/>
      </c>
      <c r="AI39" s="13" t="str">
        <f t="shared" si="41"/>
        <v/>
      </c>
      <c r="AJ39" s="13" t="str">
        <f t="shared" si="41"/>
        <v/>
      </c>
      <c r="AK39" s="13" t="str">
        <f t="shared" si="42"/>
        <v>▪</v>
      </c>
      <c r="AL39" s="13" t="str">
        <f t="shared" si="42"/>
        <v>▪</v>
      </c>
      <c r="AM39" s="13" t="str">
        <f t="shared" si="42"/>
        <v/>
      </c>
      <c r="AN39" s="13" t="str">
        <f t="shared" si="42"/>
        <v/>
      </c>
      <c r="AO39" s="13" t="str">
        <f t="shared" si="42"/>
        <v/>
      </c>
      <c r="AP39" s="13" t="str">
        <f t="shared" si="42"/>
        <v/>
      </c>
      <c r="AQ39" s="13" t="str">
        <f t="shared" si="42"/>
        <v/>
      </c>
      <c r="AR39" s="13" t="str">
        <f t="shared" si="42"/>
        <v/>
      </c>
      <c r="AS39" s="13" t="str">
        <f t="shared" si="42"/>
        <v/>
      </c>
      <c r="AT39" s="13" t="str">
        <f t="shared" si="42"/>
        <v/>
      </c>
      <c r="AU39" s="13" t="str">
        <f t="shared" si="43"/>
        <v/>
      </c>
      <c r="AV39" s="13" t="str">
        <f t="shared" si="43"/>
        <v/>
      </c>
      <c r="AW39" s="13" t="str">
        <f t="shared" si="43"/>
        <v/>
      </c>
      <c r="AX39" s="13" t="str">
        <f t="shared" si="43"/>
        <v/>
      </c>
      <c r="AY39" s="13" t="str">
        <f t="shared" si="43"/>
        <v/>
      </c>
      <c r="AZ39" s="13" t="str">
        <f t="shared" si="43"/>
        <v/>
      </c>
      <c r="BA39" s="13" t="str">
        <f t="shared" si="43"/>
        <v/>
      </c>
      <c r="BB39" s="13" t="str">
        <f t="shared" si="43"/>
        <v/>
      </c>
      <c r="BC39" s="13" t="str">
        <f t="shared" si="43"/>
        <v/>
      </c>
      <c r="BD39" s="13" t="str">
        <f t="shared" si="43"/>
        <v/>
      </c>
      <c r="BE39" s="13" t="str">
        <f t="shared" si="44"/>
        <v/>
      </c>
      <c r="BF39" s="13" t="str">
        <f t="shared" si="44"/>
        <v/>
      </c>
      <c r="BG39" s="13" t="str">
        <f t="shared" si="44"/>
        <v/>
      </c>
      <c r="BH39" s="13" t="str">
        <f t="shared" si="44"/>
        <v/>
      </c>
      <c r="BI39" s="13" t="str">
        <f t="shared" si="44"/>
        <v/>
      </c>
      <c r="BJ39" s="13" t="str">
        <f t="shared" si="44"/>
        <v/>
      </c>
      <c r="BK39" s="13" t="str">
        <f t="shared" si="44"/>
        <v/>
      </c>
      <c r="BL39" s="13" t="str">
        <f t="shared" si="44"/>
        <v/>
      </c>
      <c r="BM39" s="13" t="str">
        <f t="shared" si="44"/>
        <v/>
      </c>
      <c r="BN39" s="13" t="str">
        <f t="shared" si="44"/>
        <v/>
      </c>
      <c r="BO39" s="13" t="str">
        <f t="shared" si="45"/>
        <v/>
      </c>
      <c r="BP39" s="13" t="str">
        <f t="shared" si="45"/>
        <v/>
      </c>
      <c r="BQ39" s="13" t="str">
        <f t="shared" si="45"/>
        <v/>
      </c>
      <c r="BR39" s="13" t="str">
        <f t="shared" si="45"/>
        <v/>
      </c>
      <c r="BS39" s="13" t="str">
        <f t="shared" si="45"/>
        <v/>
      </c>
      <c r="BT39" s="13" t="str">
        <f t="shared" si="45"/>
        <v/>
      </c>
      <c r="BU39" s="13" t="str">
        <f t="shared" si="45"/>
        <v/>
      </c>
      <c r="BV39" s="13" t="str">
        <f t="shared" si="45"/>
        <v/>
      </c>
      <c r="BW39" s="13" t="str">
        <f t="shared" si="45"/>
        <v/>
      </c>
      <c r="BX39" s="13" t="str">
        <f t="shared" si="45"/>
        <v/>
      </c>
      <c r="BY39" s="13" t="str">
        <f t="shared" si="46"/>
        <v/>
      </c>
      <c r="BZ39" s="13" t="str">
        <f t="shared" si="46"/>
        <v/>
      </c>
      <c r="CA39" s="13" t="str">
        <f t="shared" si="46"/>
        <v/>
      </c>
      <c r="CB39" s="13" t="str">
        <f t="shared" si="46"/>
        <v/>
      </c>
      <c r="CC39" s="13" t="str">
        <f t="shared" si="46"/>
        <v/>
      </c>
      <c r="CD39" s="13" t="str">
        <f t="shared" si="46"/>
        <v/>
      </c>
      <c r="CE39" s="13" t="str">
        <f t="shared" si="46"/>
        <v/>
      </c>
      <c r="CF39" s="13" t="str">
        <f t="shared" si="46"/>
        <v/>
      </c>
      <c r="CG39" s="13" t="str">
        <f t="shared" si="46"/>
        <v/>
      </c>
      <c r="CH39" s="13" t="str">
        <f t="shared" si="46"/>
        <v/>
      </c>
      <c r="CI39" s="13" t="str">
        <f t="shared" si="47"/>
        <v/>
      </c>
      <c r="CJ39" s="13" t="str">
        <f t="shared" si="47"/>
        <v/>
      </c>
      <c r="CK39" s="13" t="str">
        <f t="shared" si="47"/>
        <v/>
      </c>
      <c r="CL39" s="13" t="str">
        <f t="shared" si="47"/>
        <v/>
      </c>
      <c r="CM39" s="13" t="str">
        <f t="shared" si="47"/>
        <v/>
      </c>
      <c r="CN39" s="13" t="str">
        <f t="shared" si="47"/>
        <v/>
      </c>
      <c r="CO39" s="13" t="str">
        <f t="shared" si="47"/>
        <v/>
      </c>
      <c r="CP39" s="13" t="str">
        <f t="shared" si="47"/>
        <v/>
      </c>
      <c r="CQ39" s="13" t="str">
        <f t="shared" si="47"/>
        <v/>
      </c>
      <c r="CR39" s="13" t="str">
        <f t="shared" si="47"/>
        <v/>
      </c>
      <c r="CS39" s="13" t="str">
        <f t="shared" si="48"/>
        <v/>
      </c>
      <c r="CT39" s="13" t="str">
        <f t="shared" si="48"/>
        <v/>
      </c>
      <c r="CU39" s="13" t="str">
        <f t="shared" si="48"/>
        <v/>
      </c>
      <c r="CV39" s="13" t="str">
        <f t="shared" si="48"/>
        <v/>
      </c>
      <c r="CW39" s="13" t="str">
        <f t="shared" si="48"/>
        <v/>
      </c>
      <c r="CX39" s="13" t="str">
        <f t="shared" si="48"/>
        <v/>
      </c>
      <c r="CY39" s="13" t="str">
        <f t="shared" si="48"/>
        <v/>
      </c>
      <c r="CZ39" s="13" t="str">
        <f t="shared" si="48"/>
        <v/>
      </c>
      <c r="DA39" s="13" t="str">
        <f t="shared" si="48"/>
        <v/>
      </c>
      <c r="DB39" s="13" t="str">
        <f t="shared" si="48"/>
        <v/>
      </c>
      <c r="DC39" s="13" t="str">
        <f t="shared" si="49"/>
        <v/>
      </c>
      <c r="DD39" s="13" t="str">
        <f t="shared" si="49"/>
        <v/>
      </c>
      <c r="DE39" s="13" t="str">
        <f t="shared" si="49"/>
        <v/>
      </c>
      <c r="DF39" s="13" t="str">
        <f t="shared" si="49"/>
        <v/>
      </c>
      <c r="DG39" s="13" t="str">
        <f t="shared" si="49"/>
        <v/>
      </c>
      <c r="DH39" s="13" t="str">
        <f t="shared" si="49"/>
        <v/>
      </c>
      <c r="DI39" s="13" t="str">
        <f t="shared" si="49"/>
        <v/>
      </c>
      <c r="DJ39" s="13" t="str">
        <f t="shared" si="49"/>
        <v/>
      </c>
      <c r="DK39" s="13" t="str">
        <f t="shared" si="49"/>
        <v/>
      </c>
      <c r="DL39" s="13" t="str">
        <f t="shared" si="49"/>
        <v/>
      </c>
      <c r="DM39" s="13" t="str">
        <f t="shared" si="50"/>
        <v/>
      </c>
      <c r="DN39" s="13" t="str">
        <f t="shared" si="50"/>
        <v/>
      </c>
      <c r="DO39" s="13" t="str">
        <f t="shared" si="50"/>
        <v/>
      </c>
      <c r="DP39" s="13" t="str">
        <f t="shared" si="50"/>
        <v/>
      </c>
      <c r="DQ39" s="13" t="str">
        <f t="shared" si="50"/>
        <v/>
      </c>
      <c r="DR39" s="13" t="str">
        <f t="shared" si="50"/>
        <v/>
      </c>
      <c r="DS39" s="13" t="str">
        <f t="shared" si="50"/>
        <v/>
      </c>
      <c r="DT39" s="13" t="str">
        <f t="shared" si="50"/>
        <v/>
      </c>
      <c r="DU39" s="13" t="str">
        <f t="shared" si="50"/>
        <v/>
      </c>
      <c r="DV39" s="13" t="str">
        <f t="shared" si="50"/>
        <v/>
      </c>
      <c r="DW39" s="13" t="str">
        <f t="shared" si="51"/>
        <v/>
      </c>
      <c r="DX39" s="13" t="str">
        <f t="shared" si="51"/>
        <v/>
      </c>
      <c r="DY39" s="13" t="str">
        <f t="shared" si="51"/>
        <v/>
      </c>
      <c r="DZ39" s="13" t="str">
        <f t="shared" si="51"/>
        <v/>
      </c>
      <c r="EA39" s="13" t="str">
        <f t="shared" si="51"/>
        <v/>
      </c>
      <c r="EB39" s="13" t="str">
        <f t="shared" si="51"/>
        <v/>
      </c>
      <c r="EC39" s="13" t="str">
        <f t="shared" si="51"/>
        <v/>
      </c>
      <c r="ED39" s="13" t="str">
        <f t="shared" si="51"/>
        <v/>
      </c>
      <c r="EE39" s="13" t="str">
        <f t="shared" si="51"/>
        <v/>
      </c>
      <c r="EF39" s="13" t="str">
        <f t="shared" si="51"/>
        <v/>
      </c>
      <c r="EG39" s="13" t="str">
        <f t="shared" si="51"/>
        <v/>
      </c>
      <c r="EH39" s="13" t="str">
        <f t="shared" si="51"/>
        <v/>
      </c>
    </row>
    <row r="40" spans="1:138" ht="13.5" customHeight="1">
      <c r="A40" s="55" t="s">
        <v>119</v>
      </c>
      <c r="B40" s="56" t="s">
        <v>120</v>
      </c>
      <c r="C40" s="57" t="s">
        <v>90</v>
      </c>
      <c r="D40" s="9" t="s">
        <v>79</v>
      </c>
      <c r="E40" s="10">
        <v>46277</v>
      </c>
      <c r="F40" s="10">
        <v>46279</v>
      </c>
      <c r="G40" s="11" t="str">
        <f t="shared" si="39"/>
        <v/>
      </c>
      <c r="H40" s="11" t="str">
        <f t="shared" si="39"/>
        <v/>
      </c>
      <c r="I40" s="11" t="str">
        <f t="shared" si="39"/>
        <v/>
      </c>
      <c r="J40" s="11" t="str">
        <f t="shared" si="39"/>
        <v/>
      </c>
      <c r="K40" s="11" t="str">
        <f t="shared" si="39"/>
        <v/>
      </c>
      <c r="L40" s="11" t="str">
        <f t="shared" si="39"/>
        <v/>
      </c>
      <c r="M40" s="11" t="str">
        <f t="shared" si="39"/>
        <v/>
      </c>
      <c r="N40" s="11" t="str">
        <f t="shared" si="39"/>
        <v/>
      </c>
      <c r="O40" s="11" t="str">
        <f t="shared" si="39"/>
        <v/>
      </c>
      <c r="P40" s="11" t="str">
        <f t="shared" si="39"/>
        <v/>
      </c>
      <c r="Q40" s="11" t="str">
        <f t="shared" si="40"/>
        <v/>
      </c>
      <c r="R40" s="11" t="str">
        <f t="shared" si="40"/>
        <v/>
      </c>
      <c r="S40" s="11" t="str">
        <f t="shared" si="40"/>
        <v/>
      </c>
      <c r="T40" s="11" t="str">
        <f t="shared" si="40"/>
        <v/>
      </c>
      <c r="U40" s="11" t="str">
        <f t="shared" si="40"/>
        <v/>
      </c>
      <c r="V40" s="11" t="str">
        <f t="shared" si="40"/>
        <v/>
      </c>
      <c r="W40" s="11" t="str">
        <f t="shared" si="40"/>
        <v/>
      </c>
      <c r="X40" s="11" t="str">
        <f t="shared" si="40"/>
        <v/>
      </c>
      <c r="Y40" s="11" t="str">
        <f t="shared" si="40"/>
        <v/>
      </c>
      <c r="Z40" s="11" t="str">
        <f t="shared" si="40"/>
        <v/>
      </c>
      <c r="AA40" s="11" t="str">
        <f t="shared" si="41"/>
        <v/>
      </c>
      <c r="AB40" s="11" t="str">
        <f t="shared" si="41"/>
        <v/>
      </c>
      <c r="AC40" s="11" t="str">
        <f t="shared" si="41"/>
        <v/>
      </c>
      <c r="AD40" s="11" t="str">
        <f t="shared" si="41"/>
        <v/>
      </c>
      <c r="AE40" s="11" t="str">
        <f t="shared" si="41"/>
        <v/>
      </c>
      <c r="AF40" s="11" t="str">
        <f t="shared" si="41"/>
        <v/>
      </c>
      <c r="AG40" s="11" t="str">
        <f t="shared" si="41"/>
        <v/>
      </c>
      <c r="AH40" s="11" t="str">
        <f t="shared" si="41"/>
        <v/>
      </c>
      <c r="AI40" s="11" t="str">
        <f t="shared" si="41"/>
        <v/>
      </c>
      <c r="AJ40" s="11" t="str">
        <f t="shared" si="41"/>
        <v/>
      </c>
      <c r="AK40" s="11" t="str">
        <f t="shared" si="42"/>
        <v/>
      </c>
      <c r="AL40" s="11" t="str">
        <f t="shared" si="42"/>
        <v/>
      </c>
      <c r="AM40" s="11" t="str">
        <f t="shared" si="42"/>
        <v/>
      </c>
      <c r="AN40" s="11" t="str">
        <f t="shared" si="42"/>
        <v/>
      </c>
      <c r="AO40" s="11" t="str">
        <f t="shared" si="42"/>
        <v/>
      </c>
      <c r="AP40" s="11" t="str">
        <f t="shared" si="42"/>
        <v/>
      </c>
      <c r="AQ40" s="11" t="str">
        <f t="shared" si="42"/>
        <v/>
      </c>
      <c r="AR40" s="11" t="str">
        <f t="shared" si="42"/>
        <v/>
      </c>
      <c r="AS40" s="11" t="str">
        <f t="shared" si="42"/>
        <v/>
      </c>
      <c r="AT40" s="11" t="str">
        <f t="shared" si="42"/>
        <v/>
      </c>
      <c r="AU40" s="11" t="str">
        <f t="shared" si="43"/>
        <v/>
      </c>
      <c r="AV40" s="11" t="str">
        <f t="shared" si="43"/>
        <v/>
      </c>
      <c r="AW40" s="11" t="str">
        <f t="shared" si="43"/>
        <v>▪</v>
      </c>
      <c r="AX40" s="11" t="str">
        <f t="shared" si="43"/>
        <v>▪</v>
      </c>
      <c r="AY40" s="11" t="str">
        <f t="shared" si="43"/>
        <v>▪</v>
      </c>
      <c r="AZ40" s="11" t="str">
        <f t="shared" si="43"/>
        <v/>
      </c>
      <c r="BA40" s="11" t="str">
        <f t="shared" si="43"/>
        <v/>
      </c>
      <c r="BB40" s="11" t="str">
        <f t="shared" si="43"/>
        <v/>
      </c>
      <c r="BC40" s="11" t="str">
        <f t="shared" si="43"/>
        <v/>
      </c>
      <c r="BD40" s="11" t="str">
        <f t="shared" si="43"/>
        <v/>
      </c>
      <c r="BE40" s="11" t="str">
        <f t="shared" si="44"/>
        <v/>
      </c>
      <c r="BF40" s="11" t="str">
        <f t="shared" si="44"/>
        <v/>
      </c>
      <c r="BG40" s="11" t="str">
        <f t="shared" si="44"/>
        <v/>
      </c>
      <c r="BH40" s="11" t="str">
        <f t="shared" si="44"/>
        <v/>
      </c>
      <c r="BI40" s="11" t="str">
        <f t="shared" si="44"/>
        <v/>
      </c>
      <c r="BJ40" s="11" t="str">
        <f t="shared" si="44"/>
        <v/>
      </c>
      <c r="BK40" s="11" t="str">
        <f t="shared" si="44"/>
        <v/>
      </c>
      <c r="BL40" s="11" t="str">
        <f t="shared" si="44"/>
        <v/>
      </c>
      <c r="BM40" s="11" t="str">
        <f t="shared" si="44"/>
        <v/>
      </c>
      <c r="BN40" s="11" t="str">
        <f t="shared" si="44"/>
        <v/>
      </c>
      <c r="BO40" s="11" t="str">
        <f t="shared" si="45"/>
        <v/>
      </c>
      <c r="BP40" s="11" t="str">
        <f t="shared" si="45"/>
        <v/>
      </c>
      <c r="BQ40" s="11" t="str">
        <f t="shared" si="45"/>
        <v/>
      </c>
      <c r="BR40" s="11" t="str">
        <f t="shared" si="45"/>
        <v/>
      </c>
      <c r="BS40" s="11" t="str">
        <f t="shared" si="45"/>
        <v/>
      </c>
      <c r="BT40" s="11" t="str">
        <f t="shared" si="45"/>
        <v/>
      </c>
      <c r="BU40" s="11" t="str">
        <f t="shared" si="45"/>
        <v/>
      </c>
      <c r="BV40" s="11" t="str">
        <f t="shared" si="45"/>
        <v/>
      </c>
      <c r="BW40" s="11" t="str">
        <f t="shared" si="45"/>
        <v/>
      </c>
      <c r="BX40" s="11" t="str">
        <f t="shared" si="45"/>
        <v/>
      </c>
      <c r="BY40" s="11" t="str">
        <f t="shared" si="46"/>
        <v/>
      </c>
      <c r="BZ40" s="11" t="str">
        <f t="shared" si="46"/>
        <v/>
      </c>
      <c r="CA40" s="11" t="str">
        <f t="shared" si="46"/>
        <v/>
      </c>
      <c r="CB40" s="11" t="str">
        <f t="shared" si="46"/>
        <v/>
      </c>
      <c r="CC40" s="11" t="str">
        <f t="shared" si="46"/>
        <v/>
      </c>
      <c r="CD40" s="11" t="str">
        <f t="shared" si="46"/>
        <v/>
      </c>
      <c r="CE40" s="11" t="str">
        <f t="shared" si="46"/>
        <v/>
      </c>
      <c r="CF40" s="11" t="str">
        <f t="shared" si="46"/>
        <v/>
      </c>
      <c r="CG40" s="11" t="str">
        <f t="shared" si="46"/>
        <v/>
      </c>
      <c r="CH40" s="11" t="str">
        <f t="shared" si="46"/>
        <v/>
      </c>
      <c r="CI40" s="11" t="str">
        <f t="shared" si="47"/>
        <v/>
      </c>
      <c r="CJ40" s="11" t="str">
        <f t="shared" si="47"/>
        <v/>
      </c>
      <c r="CK40" s="11" t="str">
        <f t="shared" si="47"/>
        <v/>
      </c>
      <c r="CL40" s="11" t="str">
        <f t="shared" si="47"/>
        <v/>
      </c>
      <c r="CM40" s="11" t="str">
        <f t="shared" si="47"/>
        <v/>
      </c>
      <c r="CN40" s="11" t="str">
        <f t="shared" si="47"/>
        <v/>
      </c>
      <c r="CO40" s="11" t="str">
        <f t="shared" si="47"/>
        <v/>
      </c>
      <c r="CP40" s="11" t="str">
        <f t="shared" si="47"/>
        <v/>
      </c>
      <c r="CQ40" s="11" t="str">
        <f t="shared" si="47"/>
        <v/>
      </c>
      <c r="CR40" s="11" t="str">
        <f t="shared" si="47"/>
        <v/>
      </c>
      <c r="CS40" s="11" t="str">
        <f t="shared" si="48"/>
        <v/>
      </c>
      <c r="CT40" s="11" t="str">
        <f t="shared" si="48"/>
        <v/>
      </c>
      <c r="CU40" s="11" t="str">
        <f t="shared" si="48"/>
        <v/>
      </c>
      <c r="CV40" s="11" t="str">
        <f t="shared" si="48"/>
        <v/>
      </c>
      <c r="CW40" s="11" t="str">
        <f t="shared" si="48"/>
        <v/>
      </c>
      <c r="CX40" s="11" t="str">
        <f t="shared" si="48"/>
        <v/>
      </c>
      <c r="CY40" s="11" t="str">
        <f t="shared" si="48"/>
        <v/>
      </c>
      <c r="CZ40" s="11" t="str">
        <f t="shared" si="48"/>
        <v/>
      </c>
      <c r="DA40" s="11" t="str">
        <f t="shared" si="48"/>
        <v/>
      </c>
      <c r="DB40" s="11" t="str">
        <f t="shared" si="48"/>
        <v/>
      </c>
      <c r="DC40" s="11" t="str">
        <f t="shared" si="49"/>
        <v/>
      </c>
      <c r="DD40" s="11" t="str">
        <f t="shared" si="49"/>
        <v/>
      </c>
      <c r="DE40" s="11" t="str">
        <f t="shared" si="49"/>
        <v/>
      </c>
      <c r="DF40" s="11" t="str">
        <f t="shared" si="49"/>
        <v/>
      </c>
      <c r="DG40" s="11" t="str">
        <f t="shared" si="49"/>
        <v/>
      </c>
      <c r="DH40" s="11" t="str">
        <f t="shared" si="49"/>
        <v/>
      </c>
      <c r="DI40" s="11" t="str">
        <f t="shared" si="49"/>
        <v/>
      </c>
      <c r="DJ40" s="11" t="str">
        <f t="shared" si="49"/>
        <v/>
      </c>
      <c r="DK40" s="11" t="str">
        <f t="shared" si="49"/>
        <v/>
      </c>
      <c r="DL40" s="11" t="str">
        <f t="shared" si="49"/>
        <v/>
      </c>
      <c r="DM40" s="11" t="str">
        <f t="shared" si="50"/>
        <v/>
      </c>
      <c r="DN40" s="11" t="str">
        <f t="shared" si="50"/>
        <v/>
      </c>
      <c r="DO40" s="11" t="str">
        <f t="shared" si="50"/>
        <v/>
      </c>
      <c r="DP40" s="11" t="str">
        <f t="shared" si="50"/>
        <v/>
      </c>
      <c r="DQ40" s="11" t="str">
        <f t="shared" si="50"/>
        <v/>
      </c>
      <c r="DR40" s="11" t="str">
        <f t="shared" si="50"/>
        <v/>
      </c>
      <c r="DS40" s="11" t="str">
        <f t="shared" si="50"/>
        <v/>
      </c>
      <c r="DT40" s="11" t="str">
        <f t="shared" si="50"/>
        <v/>
      </c>
      <c r="DU40" s="11" t="str">
        <f t="shared" si="50"/>
        <v/>
      </c>
      <c r="DV40" s="11" t="str">
        <f t="shared" si="50"/>
        <v/>
      </c>
      <c r="DW40" s="11" t="str">
        <f t="shared" si="51"/>
        <v/>
      </c>
      <c r="DX40" s="11" t="str">
        <f t="shared" si="51"/>
        <v/>
      </c>
      <c r="DY40" s="11" t="str">
        <f t="shared" si="51"/>
        <v/>
      </c>
      <c r="DZ40" s="11" t="str">
        <f t="shared" si="51"/>
        <v/>
      </c>
      <c r="EA40" s="11" t="str">
        <f t="shared" si="51"/>
        <v/>
      </c>
      <c r="EB40" s="11" t="str">
        <f t="shared" si="51"/>
        <v/>
      </c>
      <c r="EC40" s="11" t="str">
        <f t="shared" si="51"/>
        <v/>
      </c>
      <c r="ED40" s="11" t="str">
        <f t="shared" si="51"/>
        <v/>
      </c>
      <c r="EE40" s="11" t="str">
        <f t="shared" si="51"/>
        <v/>
      </c>
      <c r="EF40" s="11" t="str">
        <f t="shared" si="51"/>
        <v/>
      </c>
      <c r="EG40" s="11" t="str">
        <f t="shared" si="51"/>
        <v/>
      </c>
      <c r="EH40" s="11" t="str">
        <f t="shared" si="51"/>
        <v/>
      </c>
    </row>
    <row r="41" spans="1:138" ht="13.5" customHeight="1">
      <c r="A41" s="55"/>
      <c r="B41" s="55"/>
      <c r="C41" s="55"/>
      <c r="D41" s="12" t="s">
        <v>80</v>
      </c>
      <c r="E41" s="10">
        <v>46268</v>
      </c>
      <c r="F41" s="10">
        <v>46269</v>
      </c>
      <c r="G41" s="13" t="str">
        <f t="shared" si="39"/>
        <v/>
      </c>
      <c r="H41" s="13" t="str">
        <f t="shared" si="39"/>
        <v/>
      </c>
      <c r="I41" s="13" t="str">
        <f t="shared" si="39"/>
        <v/>
      </c>
      <c r="J41" s="13" t="str">
        <f t="shared" si="39"/>
        <v/>
      </c>
      <c r="K41" s="13" t="str">
        <f t="shared" si="39"/>
        <v/>
      </c>
      <c r="L41" s="13" t="str">
        <f t="shared" si="39"/>
        <v/>
      </c>
      <c r="M41" s="13" t="str">
        <f t="shared" si="39"/>
        <v/>
      </c>
      <c r="N41" s="13" t="str">
        <f t="shared" si="39"/>
        <v/>
      </c>
      <c r="O41" s="13" t="str">
        <f t="shared" si="39"/>
        <v/>
      </c>
      <c r="P41" s="13" t="str">
        <f t="shared" si="39"/>
        <v/>
      </c>
      <c r="Q41" s="13" t="str">
        <f t="shared" si="40"/>
        <v/>
      </c>
      <c r="R41" s="13" t="str">
        <f t="shared" si="40"/>
        <v/>
      </c>
      <c r="S41" s="13" t="str">
        <f t="shared" si="40"/>
        <v/>
      </c>
      <c r="T41" s="13" t="str">
        <f t="shared" si="40"/>
        <v/>
      </c>
      <c r="U41" s="13" t="str">
        <f t="shared" si="40"/>
        <v/>
      </c>
      <c r="V41" s="13" t="str">
        <f t="shared" si="40"/>
        <v/>
      </c>
      <c r="W41" s="13" t="str">
        <f t="shared" si="40"/>
        <v/>
      </c>
      <c r="X41" s="13" t="str">
        <f t="shared" si="40"/>
        <v/>
      </c>
      <c r="Y41" s="13" t="str">
        <f t="shared" si="40"/>
        <v/>
      </c>
      <c r="Z41" s="13" t="str">
        <f t="shared" si="40"/>
        <v/>
      </c>
      <c r="AA41" s="13" t="str">
        <f t="shared" si="41"/>
        <v/>
      </c>
      <c r="AB41" s="13" t="str">
        <f t="shared" si="41"/>
        <v/>
      </c>
      <c r="AC41" s="13" t="str">
        <f t="shared" si="41"/>
        <v/>
      </c>
      <c r="AD41" s="13" t="str">
        <f t="shared" si="41"/>
        <v/>
      </c>
      <c r="AE41" s="13" t="str">
        <f t="shared" si="41"/>
        <v/>
      </c>
      <c r="AF41" s="13" t="str">
        <f t="shared" si="41"/>
        <v/>
      </c>
      <c r="AG41" s="13" t="str">
        <f t="shared" si="41"/>
        <v/>
      </c>
      <c r="AH41" s="13" t="str">
        <f t="shared" si="41"/>
        <v/>
      </c>
      <c r="AI41" s="13" t="str">
        <f t="shared" si="41"/>
        <v/>
      </c>
      <c r="AJ41" s="13" t="str">
        <f t="shared" si="41"/>
        <v/>
      </c>
      <c r="AK41" s="13" t="str">
        <f t="shared" si="42"/>
        <v/>
      </c>
      <c r="AL41" s="13" t="str">
        <f t="shared" si="42"/>
        <v/>
      </c>
      <c r="AM41" s="13" t="str">
        <f t="shared" si="42"/>
        <v/>
      </c>
      <c r="AN41" s="13" t="str">
        <f t="shared" si="42"/>
        <v>▪</v>
      </c>
      <c r="AO41" s="13" t="str">
        <f t="shared" si="42"/>
        <v>▪</v>
      </c>
      <c r="AP41" s="13" t="str">
        <f t="shared" si="42"/>
        <v/>
      </c>
      <c r="AQ41" s="13" t="str">
        <f t="shared" si="42"/>
        <v/>
      </c>
      <c r="AR41" s="13" t="str">
        <f t="shared" si="42"/>
        <v/>
      </c>
      <c r="AS41" s="13" t="str">
        <f t="shared" si="42"/>
        <v/>
      </c>
      <c r="AT41" s="13" t="str">
        <f t="shared" si="42"/>
        <v/>
      </c>
      <c r="AU41" s="13" t="str">
        <f t="shared" si="43"/>
        <v/>
      </c>
      <c r="AV41" s="13" t="str">
        <f t="shared" si="43"/>
        <v/>
      </c>
      <c r="AW41" s="13" t="str">
        <f t="shared" si="43"/>
        <v/>
      </c>
      <c r="AX41" s="13" t="str">
        <f t="shared" si="43"/>
        <v/>
      </c>
      <c r="AY41" s="13" t="str">
        <f t="shared" si="43"/>
        <v/>
      </c>
      <c r="AZ41" s="13" t="str">
        <f t="shared" si="43"/>
        <v/>
      </c>
      <c r="BA41" s="13" t="str">
        <f t="shared" si="43"/>
        <v/>
      </c>
      <c r="BB41" s="13" t="str">
        <f t="shared" si="43"/>
        <v/>
      </c>
      <c r="BC41" s="13" t="str">
        <f t="shared" si="43"/>
        <v/>
      </c>
      <c r="BD41" s="13" t="str">
        <f t="shared" si="43"/>
        <v/>
      </c>
      <c r="BE41" s="13" t="str">
        <f t="shared" si="44"/>
        <v/>
      </c>
      <c r="BF41" s="13" t="str">
        <f t="shared" si="44"/>
        <v/>
      </c>
      <c r="BG41" s="13" t="str">
        <f t="shared" si="44"/>
        <v/>
      </c>
      <c r="BH41" s="13" t="str">
        <f t="shared" si="44"/>
        <v/>
      </c>
      <c r="BI41" s="13" t="str">
        <f t="shared" si="44"/>
        <v/>
      </c>
      <c r="BJ41" s="13" t="str">
        <f t="shared" si="44"/>
        <v/>
      </c>
      <c r="BK41" s="13" t="str">
        <f t="shared" si="44"/>
        <v/>
      </c>
      <c r="BL41" s="13" t="str">
        <f t="shared" si="44"/>
        <v/>
      </c>
      <c r="BM41" s="13" t="str">
        <f t="shared" si="44"/>
        <v/>
      </c>
      <c r="BN41" s="13" t="str">
        <f t="shared" si="44"/>
        <v/>
      </c>
      <c r="BO41" s="13" t="str">
        <f t="shared" si="45"/>
        <v/>
      </c>
      <c r="BP41" s="13" t="str">
        <f t="shared" si="45"/>
        <v/>
      </c>
      <c r="BQ41" s="13" t="str">
        <f t="shared" si="45"/>
        <v/>
      </c>
      <c r="BR41" s="13" t="str">
        <f t="shared" si="45"/>
        <v/>
      </c>
      <c r="BS41" s="13" t="str">
        <f t="shared" si="45"/>
        <v/>
      </c>
      <c r="BT41" s="13" t="str">
        <f t="shared" si="45"/>
        <v/>
      </c>
      <c r="BU41" s="13" t="str">
        <f t="shared" si="45"/>
        <v/>
      </c>
      <c r="BV41" s="13" t="str">
        <f t="shared" si="45"/>
        <v/>
      </c>
      <c r="BW41" s="13" t="str">
        <f t="shared" si="45"/>
        <v/>
      </c>
      <c r="BX41" s="13" t="str">
        <f t="shared" si="45"/>
        <v/>
      </c>
      <c r="BY41" s="13" t="str">
        <f t="shared" si="46"/>
        <v/>
      </c>
      <c r="BZ41" s="13" t="str">
        <f t="shared" si="46"/>
        <v/>
      </c>
      <c r="CA41" s="13" t="str">
        <f t="shared" si="46"/>
        <v/>
      </c>
      <c r="CB41" s="13" t="str">
        <f t="shared" si="46"/>
        <v/>
      </c>
      <c r="CC41" s="13" t="str">
        <f t="shared" si="46"/>
        <v/>
      </c>
      <c r="CD41" s="13" t="str">
        <f t="shared" si="46"/>
        <v/>
      </c>
      <c r="CE41" s="13" t="str">
        <f t="shared" si="46"/>
        <v/>
      </c>
      <c r="CF41" s="13" t="str">
        <f t="shared" si="46"/>
        <v/>
      </c>
      <c r="CG41" s="13" t="str">
        <f t="shared" si="46"/>
        <v/>
      </c>
      <c r="CH41" s="13" t="str">
        <f t="shared" si="46"/>
        <v/>
      </c>
      <c r="CI41" s="13" t="str">
        <f t="shared" si="47"/>
        <v/>
      </c>
      <c r="CJ41" s="13" t="str">
        <f t="shared" si="47"/>
        <v/>
      </c>
      <c r="CK41" s="13" t="str">
        <f t="shared" si="47"/>
        <v/>
      </c>
      <c r="CL41" s="13" t="str">
        <f t="shared" si="47"/>
        <v/>
      </c>
      <c r="CM41" s="13" t="str">
        <f t="shared" si="47"/>
        <v/>
      </c>
      <c r="CN41" s="13" t="str">
        <f t="shared" si="47"/>
        <v/>
      </c>
      <c r="CO41" s="13" t="str">
        <f t="shared" si="47"/>
        <v/>
      </c>
      <c r="CP41" s="13" t="str">
        <f t="shared" si="47"/>
        <v/>
      </c>
      <c r="CQ41" s="13" t="str">
        <f t="shared" si="47"/>
        <v/>
      </c>
      <c r="CR41" s="13" t="str">
        <f t="shared" si="47"/>
        <v/>
      </c>
      <c r="CS41" s="13" t="str">
        <f t="shared" si="48"/>
        <v/>
      </c>
      <c r="CT41" s="13" t="str">
        <f t="shared" si="48"/>
        <v/>
      </c>
      <c r="CU41" s="13" t="str">
        <f t="shared" si="48"/>
        <v/>
      </c>
      <c r="CV41" s="13" t="str">
        <f t="shared" si="48"/>
        <v/>
      </c>
      <c r="CW41" s="13" t="str">
        <f t="shared" si="48"/>
        <v/>
      </c>
      <c r="CX41" s="13" t="str">
        <f t="shared" si="48"/>
        <v/>
      </c>
      <c r="CY41" s="13" t="str">
        <f t="shared" si="48"/>
        <v/>
      </c>
      <c r="CZ41" s="13" t="str">
        <f t="shared" si="48"/>
        <v/>
      </c>
      <c r="DA41" s="13" t="str">
        <f t="shared" si="48"/>
        <v/>
      </c>
      <c r="DB41" s="13" t="str">
        <f t="shared" si="48"/>
        <v/>
      </c>
      <c r="DC41" s="13" t="str">
        <f t="shared" si="49"/>
        <v/>
      </c>
      <c r="DD41" s="13" t="str">
        <f t="shared" si="49"/>
        <v/>
      </c>
      <c r="DE41" s="13" t="str">
        <f t="shared" si="49"/>
        <v/>
      </c>
      <c r="DF41" s="13" t="str">
        <f t="shared" si="49"/>
        <v/>
      </c>
      <c r="DG41" s="13" t="str">
        <f t="shared" si="49"/>
        <v/>
      </c>
      <c r="DH41" s="13" t="str">
        <f t="shared" si="49"/>
        <v/>
      </c>
      <c r="DI41" s="13" t="str">
        <f t="shared" si="49"/>
        <v/>
      </c>
      <c r="DJ41" s="13" t="str">
        <f t="shared" si="49"/>
        <v/>
      </c>
      <c r="DK41" s="13" t="str">
        <f t="shared" si="49"/>
        <v/>
      </c>
      <c r="DL41" s="13" t="str">
        <f t="shared" si="49"/>
        <v/>
      </c>
      <c r="DM41" s="13" t="str">
        <f t="shared" si="50"/>
        <v/>
      </c>
      <c r="DN41" s="13" t="str">
        <f t="shared" si="50"/>
        <v/>
      </c>
      <c r="DO41" s="13" t="str">
        <f t="shared" si="50"/>
        <v/>
      </c>
      <c r="DP41" s="13" t="str">
        <f t="shared" si="50"/>
        <v/>
      </c>
      <c r="DQ41" s="13" t="str">
        <f t="shared" si="50"/>
        <v/>
      </c>
      <c r="DR41" s="13" t="str">
        <f t="shared" si="50"/>
        <v/>
      </c>
      <c r="DS41" s="13" t="str">
        <f t="shared" si="50"/>
        <v/>
      </c>
      <c r="DT41" s="13" t="str">
        <f t="shared" si="50"/>
        <v/>
      </c>
      <c r="DU41" s="13" t="str">
        <f t="shared" si="50"/>
        <v/>
      </c>
      <c r="DV41" s="13" t="str">
        <f t="shared" si="50"/>
        <v/>
      </c>
      <c r="DW41" s="13" t="str">
        <f t="shared" si="51"/>
        <v/>
      </c>
      <c r="DX41" s="13" t="str">
        <f t="shared" si="51"/>
        <v/>
      </c>
      <c r="DY41" s="13" t="str">
        <f t="shared" si="51"/>
        <v/>
      </c>
      <c r="DZ41" s="13" t="str">
        <f t="shared" si="51"/>
        <v/>
      </c>
      <c r="EA41" s="13" t="str">
        <f t="shared" si="51"/>
        <v/>
      </c>
      <c r="EB41" s="13" t="str">
        <f t="shared" si="51"/>
        <v/>
      </c>
      <c r="EC41" s="13" t="str">
        <f t="shared" si="51"/>
        <v/>
      </c>
      <c r="ED41" s="13" t="str">
        <f t="shared" si="51"/>
        <v/>
      </c>
      <c r="EE41" s="13" t="str">
        <f t="shared" si="51"/>
        <v/>
      </c>
      <c r="EF41" s="13" t="str">
        <f t="shared" si="51"/>
        <v/>
      </c>
      <c r="EG41" s="13" t="str">
        <f t="shared" si="51"/>
        <v/>
      </c>
      <c r="EH41" s="13" t="str">
        <f t="shared" si="51"/>
        <v/>
      </c>
    </row>
    <row r="42" spans="1:138" ht="15.75" customHeight="1">
      <c r="A42" s="54" t="s">
        <v>121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4"/>
      <c r="AC42" s="54"/>
      <c r="AD42" s="54"/>
      <c r="AE42" s="54"/>
      <c r="AF42" s="54"/>
      <c r="AG42" s="54"/>
      <c r="AH42" s="54"/>
      <c r="AI42" s="54"/>
      <c r="AJ42" s="54"/>
      <c r="AK42" s="54"/>
      <c r="AL42" s="54"/>
      <c r="AM42" s="54"/>
      <c r="AN42" s="54"/>
      <c r="AO42" s="54"/>
      <c r="AP42" s="54"/>
      <c r="AQ42" s="54"/>
      <c r="AR42" s="54"/>
      <c r="AS42" s="54"/>
      <c r="AT42" s="54"/>
      <c r="AU42" s="54"/>
      <c r="AV42" s="54"/>
      <c r="AW42" s="54"/>
      <c r="AX42" s="54"/>
      <c r="AY42" s="54"/>
      <c r="AZ42" s="54"/>
      <c r="BA42" s="54"/>
      <c r="BB42" s="54"/>
      <c r="BC42" s="54"/>
      <c r="BD42" s="54"/>
      <c r="BE42" s="54"/>
      <c r="BF42" s="54"/>
      <c r="BG42" s="54"/>
      <c r="BH42" s="54"/>
      <c r="BI42" s="54"/>
      <c r="BJ42" s="54"/>
      <c r="BK42" s="54"/>
      <c r="BL42" s="54"/>
      <c r="BM42" s="54"/>
      <c r="BN42" s="54"/>
      <c r="BO42" s="54"/>
      <c r="BP42" s="54"/>
      <c r="BQ42" s="54"/>
      <c r="BR42" s="54"/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  <c r="DO42" s="54"/>
      <c r="DP42" s="54"/>
      <c r="DQ42" s="54"/>
      <c r="DR42" s="54"/>
      <c r="DS42" s="54"/>
      <c r="DT42" s="54"/>
      <c r="DU42" s="54"/>
      <c r="DV42" s="54"/>
      <c r="DW42" s="54"/>
      <c r="DX42" s="54"/>
      <c r="DY42" s="54"/>
      <c r="DZ42" s="54"/>
      <c r="EA42" s="54"/>
      <c r="EB42" s="54"/>
      <c r="EC42" s="54"/>
      <c r="ED42" s="54"/>
      <c r="EE42" s="54"/>
      <c r="EF42" s="54"/>
      <c r="EG42" s="54"/>
      <c r="EH42" s="54"/>
    </row>
    <row r="43" spans="1:138" ht="13.5" customHeight="1">
      <c r="A43" s="55" t="s">
        <v>122</v>
      </c>
      <c r="B43" s="56" t="s">
        <v>123</v>
      </c>
      <c r="C43" s="57" t="s">
        <v>95</v>
      </c>
      <c r="D43" s="9" t="s">
        <v>79</v>
      </c>
      <c r="E43" s="10">
        <v>46280</v>
      </c>
      <c r="F43" s="10">
        <v>46281</v>
      </c>
      <c r="G43" s="11" t="str">
        <f t="shared" ref="G43:P54" si="52">IF(AND($E43&lt;&gt;"",$F43&lt;&gt;"",$E43&lt;=G$3,$F43&gt;=G$3),"▪","")</f>
        <v/>
      </c>
      <c r="H43" s="11" t="str">
        <f t="shared" si="52"/>
        <v/>
      </c>
      <c r="I43" s="11" t="str">
        <f t="shared" si="52"/>
        <v/>
      </c>
      <c r="J43" s="11" t="str">
        <f t="shared" si="52"/>
        <v/>
      </c>
      <c r="K43" s="11" t="str">
        <f t="shared" si="52"/>
        <v/>
      </c>
      <c r="L43" s="11" t="str">
        <f t="shared" si="52"/>
        <v/>
      </c>
      <c r="M43" s="11" t="str">
        <f t="shared" si="52"/>
        <v/>
      </c>
      <c r="N43" s="11" t="str">
        <f t="shared" si="52"/>
        <v/>
      </c>
      <c r="O43" s="11" t="str">
        <f t="shared" si="52"/>
        <v/>
      </c>
      <c r="P43" s="11" t="str">
        <f t="shared" si="52"/>
        <v/>
      </c>
      <c r="Q43" s="11" t="str">
        <f t="shared" ref="Q43:Z54" si="53">IF(AND($E43&lt;&gt;"",$F43&lt;&gt;"",$E43&lt;=Q$3,$F43&gt;=Q$3),"▪","")</f>
        <v/>
      </c>
      <c r="R43" s="11" t="str">
        <f t="shared" si="53"/>
        <v/>
      </c>
      <c r="S43" s="11" t="str">
        <f t="shared" si="53"/>
        <v/>
      </c>
      <c r="T43" s="11" t="str">
        <f t="shared" si="53"/>
        <v/>
      </c>
      <c r="U43" s="11" t="str">
        <f t="shared" si="53"/>
        <v/>
      </c>
      <c r="V43" s="11" t="str">
        <f t="shared" si="53"/>
        <v/>
      </c>
      <c r="W43" s="11" t="str">
        <f t="shared" si="53"/>
        <v/>
      </c>
      <c r="X43" s="11" t="str">
        <f t="shared" si="53"/>
        <v/>
      </c>
      <c r="Y43" s="11" t="str">
        <f t="shared" si="53"/>
        <v/>
      </c>
      <c r="Z43" s="11" t="str">
        <f t="shared" si="53"/>
        <v/>
      </c>
      <c r="AA43" s="11" t="str">
        <f t="shared" ref="AA43:AJ54" si="54">IF(AND($E43&lt;&gt;"",$F43&lt;&gt;"",$E43&lt;=AA$3,$F43&gt;=AA$3),"▪","")</f>
        <v/>
      </c>
      <c r="AB43" s="11" t="str">
        <f t="shared" si="54"/>
        <v/>
      </c>
      <c r="AC43" s="11" t="str">
        <f t="shared" si="54"/>
        <v/>
      </c>
      <c r="AD43" s="11" t="str">
        <f t="shared" si="54"/>
        <v/>
      </c>
      <c r="AE43" s="11" t="str">
        <f t="shared" si="54"/>
        <v/>
      </c>
      <c r="AF43" s="11" t="str">
        <f t="shared" si="54"/>
        <v/>
      </c>
      <c r="AG43" s="11" t="str">
        <f t="shared" si="54"/>
        <v/>
      </c>
      <c r="AH43" s="11" t="str">
        <f t="shared" si="54"/>
        <v/>
      </c>
      <c r="AI43" s="11" t="str">
        <f t="shared" si="54"/>
        <v/>
      </c>
      <c r="AJ43" s="11" t="str">
        <f t="shared" si="54"/>
        <v/>
      </c>
      <c r="AK43" s="11" t="str">
        <f t="shared" ref="AK43:AT54" si="55">IF(AND($E43&lt;&gt;"",$F43&lt;&gt;"",$E43&lt;=AK$3,$F43&gt;=AK$3),"▪","")</f>
        <v/>
      </c>
      <c r="AL43" s="11" t="str">
        <f t="shared" si="55"/>
        <v/>
      </c>
      <c r="AM43" s="11" t="str">
        <f t="shared" si="55"/>
        <v/>
      </c>
      <c r="AN43" s="11" t="str">
        <f t="shared" si="55"/>
        <v/>
      </c>
      <c r="AO43" s="11" t="str">
        <f t="shared" si="55"/>
        <v/>
      </c>
      <c r="AP43" s="11" t="str">
        <f t="shared" si="55"/>
        <v/>
      </c>
      <c r="AQ43" s="11" t="str">
        <f t="shared" si="55"/>
        <v/>
      </c>
      <c r="AR43" s="11" t="str">
        <f t="shared" si="55"/>
        <v/>
      </c>
      <c r="AS43" s="11" t="str">
        <f t="shared" si="55"/>
        <v/>
      </c>
      <c r="AT43" s="11" t="str">
        <f t="shared" si="55"/>
        <v/>
      </c>
      <c r="AU43" s="11" t="str">
        <f t="shared" ref="AU43:BD54" si="56">IF(AND($E43&lt;&gt;"",$F43&lt;&gt;"",$E43&lt;=AU$3,$F43&gt;=AU$3),"▪","")</f>
        <v/>
      </c>
      <c r="AV43" s="11" t="str">
        <f t="shared" si="56"/>
        <v/>
      </c>
      <c r="AW43" s="11" t="str">
        <f t="shared" si="56"/>
        <v/>
      </c>
      <c r="AX43" s="11" t="str">
        <f t="shared" si="56"/>
        <v/>
      </c>
      <c r="AY43" s="11" t="str">
        <f t="shared" si="56"/>
        <v/>
      </c>
      <c r="AZ43" s="11" t="str">
        <f t="shared" si="56"/>
        <v>▪</v>
      </c>
      <c r="BA43" s="11" t="str">
        <f t="shared" si="56"/>
        <v>▪</v>
      </c>
      <c r="BB43" s="11" t="str">
        <f t="shared" si="56"/>
        <v/>
      </c>
      <c r="BC43" s="11" t="str">
        <f t="shared" si="56"/>
        <v/>
      </c>
      <c r="BD43" s="11" t="str">
        <f t="shared" si="56"/>
        <v/>
      </c>
      <c r="BE43" s="11" t="str">
        <f t="shared" ref="BE43:BN54" si="57">IF(AND($E43&lt;&gt;"",$F43&lt;&gt;"",$E43&lt;=BE$3,$F43&gt;=BE$3),"▪","")</f>
        <v/>
      </c>
      <c r="BF43" s="11" t="str">
        <f t="shared" si="57"/>
        <v/>
      </c>
      <c r="BG43" s="11" t="str">
        <f t="shared" si="57"/>
        <v/>
      </c>
      <c r="BH43" s="11" t="str">
        <f t="shared" si="57"/>
        <v/>
      </c>
      <c r="BI43" s="11" t="str">
        <f t="shared" si="57"/>
        <v/>
      </c>
      <c r="BJ43" s="11" t="str">
        <f t="shared" si="57"/>
        <v/>
      </c>
      <c r="BK43" s="11" t="str">
        <f t="shared" si="57"/>
        <v/>
      </c>
      <c r="BL43" s="11" t="str">
        <f t="shared" si="57"/>
        <v/>
      </c>
      <c r="BM43" s="11" t="str">
        <f t="shared" si="57"/>
        <v/>
      </c>
      <c r="BN43" s="11" t="str">
        <f t="shared" si="57"/>
        <v/>
      </c>
      <c r="BO43" s="11" t="str">
        <f t="shared" ref="BO43:BX54" si="58">IF(AND($E43&lt;&gt;"",$F43&lt;&gt;"",$E43&lt;=BO$3,$F43&gt;=BO$3),"▪","")</f>
        <v/>
      </c>
      <c r="BP43" s="11" t="str">
        <f t="shared" si="58"/>
        <v/>
      </c>
      <c r="BQ43" s="11" t="str">
        <f t="shared" si="58"/>
        <v/>
      </c>
      <c r="BR43" s="11" t="str">
        <f t="shared" si="58"/>
        <v/>
      </c>
      <c r="BS43" s="11" t="str">
        <f t="shared" si="58"/>
        <v/>
      </c>
      <c r="BT43" s="11" t="str">
        <f t="shared" si="58"/>
        <v/>
      </c>
      <c r="BU43" s="11" t="str">
        <f t="shared" si="58"/>
        <v/>
      </c>
      <c r="BV43" s="11" t="str">
        <f t="shared" si="58"/>
        <v/>
      </c>
      <c r="BW43" s="11" t="str">
        <f t="shared" si="58"/>
        <v/>
      </c>
      <c r="BX43" s="11" t="str">
        <f t="shared" si="58"/>
        <v/>
      </c>
      <c r="BY43" s="11" t="str">
        <f t="shared" ref="BY43:CH54" si="59">IF(AND($E43&lt;&gt;"",$F43&lt;&gt;"",$E43&lt;=BY$3,$F43&gt;=BY$3),"▪","")</f>
        <v/>
      </c>
      <c r="BZ43" s="11" t="str">
        <f t="shared" si="59"/>
        <v/>
      </c>
      <c r="CA43" s="11" t="str">
        <f t="shared" si="59"/>
        <v/>
      </c>
      <c r="CB43" s="11" t="str">
        <f t="shared" si="59"/>
        <v/>
      </c>
      <c r="CC43" s="11" t="str">
        <f t="shared" si="59"/>
        <v/>
      </c>
      <c r="CD43" s="11" t="str">
        <f t="shared" si="59"/>
        <v/>
      </c>
      <c r="CE43" s="11" t="str">
        <f t="shared" si="59"/>
        <v/>
      </c>
      <c r="CF43" s="11" t="str">
        <f t="shared" si="59"/>
        <v/>
      </c>
      <c r="CG43" s="11" t="str">
        <f t="shared" si="59"/>
        <v/>
      </c>
      <c r="CH43" s="11" t="str">
        <f t="shared" si="59"/>
        <v/>
      </c>
      <c r="CI43" s="11" t="str">
        <f t="shared" ref="CI43:CR54" si="60">IF(AND($E43&lt;&gt;"",$F43&lt;&gt;"",$E43&lt;=CI$3,$F43&gt;=CI$3),"▪","")</f>
        <v/>
      </c>
      <c r="CJ43" s="11" t="str">
        <f t="shared" si="60"/>
        <v/>
      </c>
      <c r="CK43" s="11" t="str">
        <f t="shared" si="60"/>
        <v/>
      </c>
      <c r="CL43" s="11" t="str">
        <f t="shared" si="60"/>
        <v/>
      </c>
      <c r="CM43" s="11" t="str">
        <f t="shared" si="60"/>
        <v/>
      </c>
      <c r="CN43" s="11" t="str">
        <f t="shared" si="60"/>
        <v/>
      </c>
      <c r="CO43" s="11" t="str">
        <f t="shared" si="60"/>
        <v/>
      </c>
      <c r="CP43" s="11" t="str">
        <f t="shared" si="60"/>
        <v/>
      </c>
      <c r="CQ43" s="11" t="str">
        <f t="shared" si="60"/>
        <v/>
      </c>
      <c r="CR43" s="11" t="str">
        <f t="shared" si="60"/>
        <v/>
      </c>
      <c r="CS43" s="11" t="str">
        <f t="shared" ref="CS43:DB54" si="61">IF(AND($E43&lt;&gt;"",$F43&lt;&gt;"",$E43&lt;=CS$3,$F43&gt;=CS$3),"▪","")</f>
        <v/>
      </c>
      <c r="CT43" s="11" t="str">
        <f t="shared" si="61"/>
        <v/>
      </c>
      <c r="CU43" s="11" t="str">
        <f t="shared" si="61"/>
        <v/>
      </c>
      <c r="CV43" s="11" t="str">
        <f t="shared" si="61"/>
        <v/>
      </c>
      <c r="CW43" s="11" t="str">
        <f t="shared" si="61"/>
        <v/>
      </c>
      <c r="CX43" s="11" t="str">
        <f t="shared" si="61"/>
        <v/>
      </c>
      <c r="CY43" s="11" t="str">
        <f t="shared" si="61"/>
        <v/>
      </c>
      <c r="CZ43" s="11" t="str">
        <f t="shared" si="61"/>
        <v/>
      </c>
      <c r="DA43" s="11" t="str">
        <f t="shared" si="61"/>
        <v/>
      </c>
      <c r="DB43" s="11" t="str">
        <f t="shared" si="61"/>
        <v/>
      </c>
      <c r="DC43" s="11" t="str">
        <f t="shared" ref="DC43:DL54" si="62">IF(AND($E43&lt;&gt;"",$F43&lt;&gt;"",$E43&lt;=DC$3,$F43&gt;=DC$3),"▪","")</f>
        <v/>
      </c>
      <c r="DD43" s="11" t="str">
        <f t="shared" si="62"/>
        <v/>
      </c>
      <c r="DE43" s="11" t="str">
        <f t="shared" si="62"/>
        <v/>
      </c>
      <c r="DF43" s="11" t="str">
        <f t="shared" si="62"/>
        <v/>
      </c>
      <c r="DG43" s="11" t="str">
        <f t="shared" si="62"/>
        <v/>
      </c>
      <c r="DH43" s="11" t="str">
        <f t="shared" si="62"/>
        <v/>
      </c>
      <c r="DI43" s="11" t="str">
        <f t="shared" si="62"/>
        <v/>
      </c>
      <c r="DJ43" s="11" t="str">
        <f t="shared" si="62"/>
        <v/>
      </c>
      <c r="DK43" s="11" t="str">
        <f t="shared" si="62"/>
        <v/>
      </c>
      <c r="DL43" s="11" t="str">
        <f t="shared" si="62"/>
        <v/>
      </c>
      <c r="DM43" s="11" t="str">
        <f t="shared" ref="DM43:DV54" si="63">IF(AND($E43&lt;&gt;"",$F43&lt;&gt;"",$E43&lt;=DM$3,$F43&gt;=DM$3),"▪","")</f>
        <v/>
      </c>
      <c r="DN43" s="11" t="str">
        <f t="shared" si="63"/>
        <v/>
      </c>
      <c r="DO43" s="11" t="str">
        <f t="shared" si="63"/>
        <v/>
      </c>
      <c r="DP43" s="11" t="str">
        <f t="shared" si="63"/>
        <v/>
      </c>
      <c r="DQ43" s="11" t="str">
        <f t="shared" si="63"/>
        <v/>
      </c>
      <c r="DR43" s="11" t="str">
        <f t="shared" si="63"/>
        <v/>
      </c>
      <c r="DS43" s="11" t="str">
        <f t="shared" si="63"/>
        <v/>
      </c>
      <c r="DT43" s="11" t="str">
        <f t="shared" si="63"/>
        <v/>
      </c>
      <c r="DU43" s="11" t="str">
        <f t="shared" si="63"/>
        <v/>
      </c>
      <c r="DV43" s="11" t="str">
        <f t="shared" si="63"/>
        <v/>
      </c>
      <c r="DW43" s="11" t="str">
        <f t="shared" ref="DW43:EH54" si="64">IF(AND($E43&lt;&gt;"",$F43&lt;&gt;"",$E43&lt;=DW$3,$F43&gt;=DW$3),"▪","")</f>
        <v/>
      </c>
      <c r="DX43" s="11" t="str">
        <f t="shared" si="64"/>
        <v/>
      </c>
      <c r="DY43" s="11" t="str">
        <f t="shared" si="64"/>
        <v/>
      </c>
      <c r="DZ43" s="11" t="str">
        <f t="shared" si="64"/>
        <v/>
      </c>
      <c r="EA43" s="11" t="str">
        <f t="shared" si="64"/>
        <v/>
      </c>
      <c r="EB43" s="11" t="str">
        <f t="shared" si="64"/>
        <v/>
      </c>
      <c r="EC43" s="11" t="str">
        <f t="shared" si="64"/>
        <v/>
      </c>
      <c r="ED43" s="11" t="str">
        <f t="shared" si="64"/>
        <v/>
      </c>
      <c r="EE43" s="11" t="str">
        <f t="shared" si="64"/>
        <v/>
      </c>
      <c r="EF43" s="11" t="str">
        <f t="shared" si="64"/>
        <v/>
      </c>
      <c r="EG43" s="11" t="str">
        <f t="shared" si="64"/>
        <v/>
      </c>
      <c r="EH43" s="11" t="str">
        <f t="shared" si="64"/>
        <v/>
      </c>
    </row>
    <row r="44" spans="1:138" ht="13.5" customHeight="1">
      <c r="A44" s="55"/>
      <c r="B44" s="55"/>
      <c r="C44" s="55"/>
      <c r="D44" s="12" t="s">
        <v>80</v>
      </c>
      <c r="E44" s="10">
        <v>46280</v>
      </c>
      <c r="F44" s="10">
        <v>46280</v>
      </c>
      <c r="G44" s="13" t="str">
        <f t="shared" si="52"/>
        <v/>
      </c>
      <c r="H44" s="13" t="str">
        <f t="shared" si="52"/>
        <v/>
      </c>
      <c r="I44" s="13" t="str">
        <f t="shared" si="52"/>
        <v/>
      </c>
      <c r="J44" s="13" t="str">
        <f t="shared" si="52"/>
        <v/>
      </c>
      <c r="K44" s="13" t="str">
        <f t="shared" si="52"/>
        <v/>
      </c>
      <c r="L44" s="13" t="str">
        <f t="shared" si="52"/>
        <v/>
      </c>
      <c r="M44" s="13" t="str">
        <f t="shared" si="52"/>
        <v/>
      </c>
      <c r="N44" s="13" t="str">
        <f t="shared" si="52"/>
        <v/>
      </c>
      <c r="O44" s="13" t="str">
        <f t="shared" si="52"/>
        <v/>
      </c>
      <c r="P44" s="13" t="str">
        <f t="shared" si="52"/>
        <v/>
      </c>
      <c r="Q44" s="13" t="str">
        <f t="shared" si="53"/>
        <v/>
      </c>
      <c r="R44" s="13" t="str">
        <f t="shared" si="53"/>
        <v/>
      </c>
      <c r="S44" s="13" t="str">
        <f t="shared" si="53"/>
        <v/>
      </c>
      <c r="T44" s="13" t="str">
        <f t="shared" si="53"/>
        <v/>
      </c>
      <c r="U44" s="13" t="str">
        <f t="shared" si="53"/>
        <v/>
      </c>
      <c r="V44" s="13" t="str">
        <f t="shared" si="53"/>
        <v/>
      </c>
      <c r="W44" s="13" t="str">
        <f t="shared" si="53"/>
        <v/>
      </c>
      <c r="X44" s="13" t="str">
        <f t="shared" si="53"/>
        <v/>
      </c>
      <c r="Y44" s="13" t="str">
        <f t="shared" si="53"/>
        <v/>
      </c>
      <c r="Z44" s="13" t="str">
        <f t="shared" si="53"/>
        <v/>
      </c>
      <c r="AA44" s="13" t="str">
        <f t="shared" si="54"/>
        <v/>
      </c>
      <c r="AB44" s="13" t="str">
        <f t="shared" si="54"/>
        <v/>
      </c>
      <c r="AC44" s="13" t="str">
        <f t="shared" si="54"/>
        <v/>
      </c>
      <c r="AD44" s="13" t="str">
        <f t="shared" si="54"/>
        <v/>
      </c>
      <c r="AE44" s="13" t="str">
        <f t="shared" si="54"/>
        <v/>
      </c>
      <c r="AF44" s="13" t="str">
        <f t="shared" si="54"/>
        <v/>
      </c>
      <c r="AG44" s="13" t="str">
        <f t="shared" si="54"/>
        <v/>
      </c>
      <c r="AH44" s="13" t="str">
        <f t="shared" si="54"/>
        <v/>
      </c>
      <c r="AI44" s="13" t="str">
        <f t="shared" si="54"/>
        <v/>
      </c>
      <c r="AJ44" s="13" t="str">
        <f t="shared" si="54"/>
        <v/>
      </c>
      <c r="AK44" s="13" t="str">
        <f t="shared" si="55"/>
        <v/>
      </c>
      <c r="AL44" s="13" t="str">
        <f t="shared" si="55"/>
        <v/>
      </c>
      <c r="AM44" s="13" t="str">
        <f t="shared" si="55"/>
        <v/>
      </c>
      <c r="AN44" s="13" t="str">
        <f t="shared" si="55"/>
        <v/>
      </c>
      <c r="AO44" s="13" t="str">
        <f t="shared" si="55"/>
        <v/>
      </c>
      <c r="AP44" s="13" t="str">
        <f t="shared" si="55"/>
        <v/>
      </c>
      <c r="AQ44" s="13" t="str">
        <f t="shared" si="55"/>
        <v/>
      </c>
      <c r="AR44" s="13" t="str">
        <f t="shared" si="55"/>
        <v/>
      </c>
      <c r="AS44" s="13" t="str">
        <f t="shared" si="55"/>
        <v/>
      </c>
      <c r="AT44" s="13" t="str">
        <f t="shared" si="55"/>
        <v/>
      </c>
      <c r="AU44" s="13" t="str">
        <f t="shared" si="56"/>
        <v/>
      </c>
      <c r="AV44" s="13" t="str">
        <f t="shared" si="56"/>
        <v/>
      </c>
      <c r="AW44" s="13" t="str">
        <f t="shared" si="56"/>
        <v/>
      </c>
      <c r="AX44" s="13" t="str">
        <f t="shared" si="56"/>
        <v/>
      </c>
      <c r="AY44" s="13" t="str">
        <f t="shared" si="56"/>
        <v/>
      </c>
      <c r="AZ44" s="13" t="str">
        <f t="shared" si="56"/>
        <v>▪</v>
      </c>
      <c r="BA44" s="13" t="str">
        <f t="shared" si="56"/>
        <v/>
      </c>
      <c r="BB44" s="13" t="str">
        <f t="shared" si="56"/>
        <v/>
      </c>
      <c r="BC44" s="13" t="str">
        <f t="shared" si="56"/>
        <v/>
      </c>
      <c r="BD44" s="13" t="str">
        <f t="shared" si="56"/>
        <v/>
      </c>
      <c r="BE44" s="13" t="str">
        <f t="shared" si="57"/>
        <v/>
      </c>
      <c r="BF44" s="13" t="str">
        <f t="shared" si="57"/>
        <v/>
      </c>
      <c r="BG44" s="13" t="str">
        <f t="shared" si="57"/>
        <v/>
      </c>
      <c r="BH44" s="13" t="str">
        <f t="shared" si="57"/>
        <v/>
      </c>
      <c r="BI44" s="13" t="str">
        <f t="shared" si="57"/>
        <v/>
      </c>
      <c r="BJ44" s="13" t="str">
        <f t="shared" si="57"/>
        <v/>
      </c>
      <c r="BK44" s="13" t="str">
        <f t="shared" si="57"/>
        <v/>
      </c>
      <c r="BL44" s="13" t="str">
        <f t="shared" si="57"/>
        <v/>
      </c>
      <c r="BM44" s="13" t="str">
        <f t="shared" si="57"/>
        <v/>
      </c>
      <c r="BN44" s="13" t="str">
        <f t="shared" si="57"/>
        <v/>
      </c>
      <c r="BO44" s="13" t="str">
        <f t="shared" si="58"/>
        <v/>
      </c>
      <c r="BP44" s="13" t="str">
        <f t="shared" si="58"/>
        <v/>
      </c>
      <c r="BQ44" s="13" t="str">
        <f t="shared" si="58"/>
        <v/>
      </c>
      <c r="BR44" s="13" t="str">
        <f t="shared" si="58"/>
        <v/>
      </c>
      <c r="BS44" s="13" t="str">
        <f t="shared" si="58"/>
        <v/>
      </c>
      <c r="BT44" s="13" t="str">
        <f t="shared" si="58"/>
        <v/>
      </c>
      <c r="BU44" s="13" t="str">
        <f t="shared" si="58"/>
        <v/>
      </c>
      <c r="BV44" s="13" t="str">
        <f t="shared" si="58"/>
        <v/>
      </c>
      <c r="BW44" s="13" t="str">
        <f t="shared" si="58"/>
        <v/>
      </c>
      <c r="BX44" s="13" t="str">
        <f t="shared" si="58"/>
        <v/>
      </c>
      <c r="BY44" s="13" t="str">
        <f t="shared" si="59"/>
        <v/>
      </c>
      <c r="BZ44" s="13" t="str">
        <f t="shared" si="59"/>
        <v/>
      </c>
      <c r="CA44" s="13" t="str">
        <f t="shared" si="59"/>
        <v/>
      </c>
      <c r="CB44" s="13" t="str">
        <f t="shared" si="59"/>
        <v/>
      </c>
      <c r="CC44" s="13" t="str">
        <f t="shared" si="59"/>
        <v/>
      </c>
      <c r="CD44" s="13" t="str">
        <f t="shared" si="59"/>
        <v/>
      </c>
      <c r="CE44" s="13" t="str">
        <f t="shared" si="59"/>
        <v/>
      </c>
      <c r="CF44" s="13" t="str">
        <f t="shared" si="59"/>
        <v/>
      </c>
      <c r="CG44" s="13" t="str">
        <f t="shared" si="59"/>
        <v/>
      </c>
      <c r="CH44" s="13" t="str">
        <f t="shared" si="59"/>
        <v/>
      </c>
      <c r="CI44" s="13" t="str">
        <f t="shared" si="60"/>
        <v/>
      </c>
      <c r="CJ44" s="13" t="str">
        <f t="shared" si="60"/>
        <v/>
      </c>
      <c r="CK44" s="13" t="str">
        <f t="shared" si="60"/>
        <v/>
      </c>
      <c r="CL44" s="13" t="str">
        <f t="shared" si="60"/>
        <v/>
      </c>
      <c r="CM44" s="13" t="str">
        <f t="shared" si="60"/>
        <v/>
      </c>
      <c r="CN44" s="13" t="str">
        <f t="shared" si="60"/>
        <v/>
      </c>
      <c r="CO44" s="13" t="str">
        <f t="shared" si="60"/>
        <v/>
      </c>
      <c r="CP44" s="13" t="str">
        <f t="shared" si="60"/>
        <v/>
      </c>
      <c r="CQ44" s="13" t="str">
        <f t="shared" si="60"/>
        <v/>
      </c>
      <c r="CR44" s="13" t="str">
        <f t="shared" si="60"/>
        <v/>
      </c>
      <c r="CS44" s="13" t="str">
        <f t="shared" si="61"/>
        <v/>
      </c>
      <c r="CT44" s="13" t="str">
        <f t="shared" si="61"/>
        <v/>
      </c>
      <c r="CU44" s="13" t="str">
        <f t="shared" si="61"/>
        <v/>
      </c>
      <c r="CV44" s="13" t="str">
        <f t="shared" si="61"/>
        <v/>
      </c>
      <c r="CW44" s="13" t="str">
        <f t="shared" si="61"/>
        <v/>
      </c>
      <c r="CX44" s="13" t="str">
        <f t="shared" si="61"/>
        <v/>
      </c>
      <c r="CY44" s="13" t="str">
        <f t="shared" si="61"/>
        <v/>
      </c>
      <c r="CZ44" s="13" t="str">
        <f t="shared" si="61"/>
        <v/>
      </c>
      <c r="DA44" s="13" t="str">
        <f t="shared" si="61"/>
        <v/>
      </c>
      <c r="DB44" s="13" t="str">
        <f t="shared" si="61"/>
        <v/>
      </c>
      <c r="DC44" s="13" t="str">
        <f t="shared" si="62"/>
        <v/>
      </c>
      <c r="DD44" s="13" t="str">
        <f t="shared" si="62"/>
        <v/>
      </c>
      <c r="DE44" s="13" t="str">
        <f t="shared" si="62"/>
        <v/>
      </c>
      <c r="DF44" s="13" t="str">
        <f t="shared" si="62"/>
        <v/>
      </c>
      <c r="DG44" s="13" t="str">
        <f t="shared" si="62"/>
        <v/>
      </c>
      <c r="DH44" s="13" t="str">
        <f t="shared" si="62"/>
        <v/>
      </c>
      <c r="DI44" s="13" t="str">
        <f t="shared" si="62"/>
        <v/>
      </c>
      <c r="DJ44" s="13" t="str">
        <f t="shared" si="62"/>
        <v/>
      </c>
      <c r="DK44" s="13" t="str">
        <f t="shared" si="62"/>
        <v/>
      </c>
      <c r="DL44" s="13" t="str">
        <f t="shared" si="62"/>
        <v/>
      </c>
      <c r="DM44" s="13" t="str">
        <f t="shared" si="63"/>
        <v/>
      </c>
      <c r="DN44" s="13" t="str">
        <f t="shared" si="63"/>
        <v/>
      </c>
      <c r="DO44" s="13" t="str">
        <f t="shared" si="63"/>
        <v/>
      </c>
      <c r="DP44" s="13" t="str">
        <f t="shared" si="63"/>
        <v/>
      </c>
      <c r="DQ44" s="13" t="str">
        <f t="shared" si="63"/>
        <v/>
      </c>
      <c r="DR44" s="13" t="str">
        <f t="shared" si="63"/>
        <v/>
      </c>
      <c r="DS44" s="13" t="str">
        <f t="shared" si="63"/>
        <v/>
      </c>
      <c r="DT44" s="13" t="str">
        <f t="shared" si="63"/>
        <v/>
      </c>
      <c r="DU44" s="13" t="str">
        <f t="shared" si="63"/>
        <v/>
      </c>
      <c r="DV44" s="13" t="str">
        <f t="shared" si="63"/>
        <v/>
      </c>
      <c r="DW44" s="13" t="str">
        <f t="shared" si="64"/>
        <v/>
      </c>
      <c r="DX44" s="13" t="str">
        <f t="shared" si="64"/>
        <v/>
      </c>
      <c r="DY44" s="13" t="str">
        <f t="shared" si="64"/>
        <v/>
      </c>
      <c r="DZ44" s="13" t="str">
        <f t="shared" si="64"/>
        <v/>
      </c>
      <c r="EA44" s="13" t="str">
        <f t="shared" si="64"/>
        <v/>
      </c>
      <c r="EB44" s="13" t="str">
        <f t="shared" si="64"/>
        <v/>
      </c>
      <c r="EC44" s="13" t="str">
        <f t="shared" si="64"/>
        <v/>
      </c>
      <c r="ED44" s="13" t="str">
        <f t="shared" si="64"/>
        <v/>
      </c>
      <c r="EE44" s="13" t="str">
        <f t="shared" si="64"/>
        <v/>
      </c>
      <c r="EF44" s="13" t="str">
        <f t="shared" si="64"/>
        <v/>
      </c>
      <c r="EG44" s="13" t="str">
        <f t="shared" si="64"/>
        <v/>
      </c>
      <c r="EH44" s="13" t="str">
        <f t="shared" si="64"/>
        <v/>
      </c>
    </row>
    <row r="45" spans="1:138" ht="13.5" customHeight="1">
      <c r="A45" s="55" t="s">
        <v>124</v>
      </c>
      <c r="B45" s="56" t="s">
        <v>125</v>
      </c>
      <c r="C45" s="57" t="s">
        <v>95</v>
      </c>
      <c r="D45" s="9" t="s">
        <v>79</v>
      </c>
      <c r="E45" s="10">
        <v>46282</v>
      </c>
      <c r="F45" s="10">
        <v>46282</v>
      </c>
      <c r="G45" s="11" t="str">
        <f t="shared" si="52"/>
        <v/>
      </c>
      <c r="H45" s="11" t="str">
        <f t="shared" si="52"/>
        <v/>
      </c>
      <c r="I45" s="11" t="str">
        <f t="shared" si="52"/>
        <v/>
      </c>
      <c r="J45" s="11" t="str">
        <f t="shared" si="52"/>
        <v/>
      </c>
      <c r="K45" s="11" t="str">
        <f t="shared" si="52"/>
        <v/>
      </c>
      <c r="L45" s="11" t="str">
        <f t="shared" si="52"/>
        <v/>
      </c>
      <c r="M45" s="11" t="str">
        <f t="shared" si="52"/>
        <v/>
      </c>
      <c r="N45" s="11" t="str">
        <f t="shared" si="52"/>
        <v/>
      </c>
      <c r="O45" s="11" t="str">
        <f t="shared" si="52"/>
        <v/>
      </c>
      <c r="P45" s="11" t="str">
        <f t="shared" si="52"/>
        <v/>
      </c>
      <c r="Q45" s="11" t="str">
        <f t="shared" si="53"/>
        <v/>
      </c>
      <c r="R45" s="11" t="str">
        <f t="shared" si="53"/>
        <v/>
      </c>
      <c r="S45" s="11" t="str">
        <f t="shared" si="53"/>
        <v/>
      </c>
      <c r="T45" s="11" t="str">
        <f t="shared" si="53"/>
        <v/>
      </c>
      <c r="U45" s="11" t="str">
        <f t="shared" si="53"/>
        <v/>
      </c>
      <c r="V45" s="11" t="str">
        <f t="shared" si="53"/>
        <v/>
      </c>
      <c r="W45" s="11" t="str">
        <f t="shared" si="53"/>
        <v/>
      </c>
      <c r="X45" s="11" t="str">
        <f t="shared" si="53"/>
        <v/>
      </c>
      <c r="Y45" s="11" t="str">
        <f t="shared" si="53"/>
        <v/>
      </c>
      <c r="Z45" s="11" t="str">
        <f t="shared" si="53"/>
        <v/>
      </c>
      <c r="AA45" s="11" t="str">
        <f t="shared" si="54"/>
        <v/>
      </c>
      <c r="AB45" s="11" t="str">
        <f t="shared" si="54"/>
        <v/>
      </c>
      <c r="AC45" s="11" t="str">
        <f t="shared" si="54"/>
        <v/>
      </c>
      <c r="AD45" s="11" t="str">
        <f t="shared" si="54"/>
        <v/>
      </c>
      <c r="AE45" s="11" t="str">
        <f t="shared" si="54"/>
        <v/>
      </c>
      <c r="AF45" s="11" t="str">
        <f t="shared" si="54"/>
        <v/>
      </c>
      <c r="AG45" s="11" t="str">
        <f t="shared" si="54"/>
        <v/>
      </c>
      <c r="AH45" s="11" t="str">
        <f t="shared" si="54"/>
        <v/>
      </c>
      <c r="AI45" s="11" t="str">
        <f t="shared" si="54"/>
        <v/>
      </c>
      <c r="AJ45" s="11" t="str">
        <f t="shared" si="54"/>
        <v/>
      </c>
      <c r="AK45" s="11" t="str">
        <f t="shared" si="55"/>
        <v/>
      </c>
      <c r="AL45" s="11" t="str">
        <f t="shared" si="55"/>
        <v/>
      </c>
      <c r="AM45" s="11" t="str">
        <f t="shared" si="55"/>
        <v/>
      </c>
      <c r="AN45" s="11" t="str">
        <f t="shared" si="55"/>
        <v/>
      </c>
      <c r="AO45" s="11" t="str">
        <f t="shared" si="55"/>
        <v/>
      </c>
      <c r="AP45" s="11" t="str">
        <f t="shared" si="55"/>
        <v/>
      </c>
      <c r="AQ45" s="11" t="str">
        <f t="shared" si="55"/>
        <v/>
      </c>
      <c r="AR45" s="11" t="str">
        <f t="shared" si="55"/>
        <v/>
      </c>
      <c r="AS45" s="11" t="str">
        <f t="shared" si="55"/>
        <v/>
      </c>
      <c r="AT45" s="11" t="str">
        <f t="shared" si="55"/>
        <v/>
      </c>
      <c r="AU45" s="11" t="str">
        <f t="shared" si="56"/>
        <v/>
      </c>
      <c r="AV45" s="11" t="str">
        <f t="shared" si="56"/>
        <v/>
      </c>
      <c r="AW45" s="11" t="str">
        <f t="shared" si="56"/>
        <v/>
      </c>
      <c r="AX45" s="11" t="str">
        <f t="shared" si="56"/>
        <v/>
      </c>
      <c r="AY45" s="11" t="str">
        <f t="shared" si="56"/>
        <v/>
      </c>
      <c r="AZ45" s="11" t="str">
        <f t="shared" si="56"/>
        <v/>
      </c>
      <c r="BA45" s="11" t="str">
        <f t="shared" si="56"/>
        <v/>
      </c>
      <c r="BB45" s="11" t="str">
        <f t="shared" si="56"/>
        <v>▪</v>
      </c>
      <c r="BC45" s="11" t="str">
        <f t="shared" si="56"/>
        <v/>
      </c>
      <c r="BD45" s="11" t="str">
        <f t="shared" si="56"/>
        <v/>
      </c>
      <c r="BE45" s="11" t="str">
        <f t="shared" si="57"/>
        <v/>
      </c>
      <c r="BF45" s="11" t="str">
        <f t="shared" si="57"/>
        <v/>
      </c>
      <c r="BG45" s="11" t="str">
        <f t="shared" si="57"/>
        <v/>
      </c>
      <c r="BH45" s="11" t="str">
        <f t="shared" si="57"/>
        <v/>
      </c>
      <c r="BI45" s="11" t="str">
        <f t="shared" si="57"/>
        <v/>
      </c>
      <c r="BJ45" s="11" t="str">
        <f t="shared" si="57"/>
        <v/>
      </c>
      <c r="BK45" s="11" t="str">
        <f t="shared" si="57"/>
        <v/>
      </c>
      <c r="BL45" s="11" t="str">
        <f t="shared" si="57"/>
        <v/>
      </c>
      <c r="BM45" s="11" t="str">
        <f t="shared" si="57"/>
        <v/>
      </c>
      <c r="BN45" s="11" t="str">
        <f t="shared" si="57"/>
        <v/>
      </c>
      <c r="BO45" s="11" t="str">
        <f t="shared" si="58"/>
        <v/>
      </c>
      <c r="BP45" s="11" t="str">
        <f t="shared" si="58"/>
        <v/>
      </c>
      <c r="BQ45" s="11" t="str">
        <f t="shared" si="58"/>
        <v/>
      </c>
      <c r="BR45" s="11" t="str">
        <f t="shared" si="58"/>
        <v/>
      </c>
      <c r="BS45" s="11" t="str">
        <f t="shared" si="58"/>
        <v/>
      </c>
      <c r="BT45" s="11" t="str">
        <f t="shared" si="58"/>
        <v/>
      </c>
      <c r="BU45" s="11" t="str">
        <f t="shared" si="58"/>
        <v/>
      </c>
      <c r="BV45" s="11" t="str">
        <f t="shared" si="58"/>
        <v/>
      </c>
      <c r="BW45" s="11" t="str">
        <f t="shared" si="58"/>
        <v/>
      </c>
      <c r="BX45" s="11" t="str">
        <f t="shared" si="58"/>
        <v/>
      </c>
      <c r="BY45" s="11" t="str">
        <f t="shared" si="59"/>
        <v/>
      </c>
      <c r="BZ45" s="11" t="str">
        <f t="shared" si="59"/>
        <v/>
      </c>
      <c r="CA45" s="11" t="str">
        <f t="shared" si="59"/>
        <v/>
      </c>
      <c r="CB45" s="11" t="str">
        <f t="shared" si="59"/>
        <v/>
      </c>
      <c r="CC45" s="11" t="str">
        <f t="shared" si="59"/>
        <v/>
      </c>
      <c r="CD45" s="11" t="str">
        <f t="shared" si="59"/>
        <v/>
      </c>
      <c r="CE45" s="11" t="str">
        <f t="shared" si="59"/>
        <v/>
      </c>
      <c r="CF45" s="11" t="str">
        <f t="shared" si="59"/>
        <v/>
      </c>
      <c r="CG45" s="11" t="str">
        <f t="shared" si="59"/>
        <v/>
      </c>
      <c r="CH45" s="11" t="str">
        <f t="shared" si="59"/>
        <v/>
      </c>
      <c r="CI45" s="11" t="str">
        <f t="shared" si="60"/>
        <v/>
      </c>
      <c r="CJ45" s="11" t="str">
        <f t="shared" si="60"/>
        <v/>
      </c>
      <c r="CK45" s="11" t="str">
        <f t="shared" si="60"/>
        <v/>
      </c>
      <c r="CL45" s="11" t="str">
        <f t="shared" si="60"/>
        <v/>
      </c>
      <c r="CM45" s="11" t="str">
        <f t="shared" si="60"/>
        <v/>
      </c>
      <c r="CN45" s="11" t="str">
        <f t="shared" si="60"/>
        <v/>
      </c>
      <c r="CO45" s="11" t="str">
        <f t="shared" si="60"/>
        <v/>
      </c>
      <c r="CP45" s="11" t="str">
        <f t="shared" si="60"/>
        <v/>
      </c>
      <c r="CQ45" s="11" t="str">
        <f t="shared" si="60"/>
        <v/>
      </c>
      <c r="CR45" s="11" t="str">
        <f t="shared" si="60"/>
        <v/>
      </c>
      <c r="CS45" s="11" t="str">
        <f t="shared" si="61"/>
        <v/>
      </c>
      <c r="CT45" s="11" t="str">
        <f t="shared" si="61"/>
        <v/>
      </c>
      <c r="CU45" s="11" t="str">
        <f t="shared" si="61"/>
        <v/>
      </c>
      <c r="CV45" s="11" t="str">
        <f t="shared" si="61"/>
        <v/>
      </c>
      <c r="CW45" s="11" t="str">
        <f t="shared" si="61"/>
        <v/>
      </c>
      <c r="CX45" s="11" t="str">
        <f t="shared" si="61"/>
        <v/>
      </c>
      <c r="CY45" s="11" t="str">
        <f t="shared" si="61"/>
        <v/>
      </c>
      <c r="CZ45" s="11" t="str">
        <f t="shared" si="61"/>
        <v/>
      </c>
      <c r="DA45" s="11" t="str">
        <f t="shared" si="61"/>
        <v/>
      </c>
      <c r="DB45" s="11" t="str">
        <f t="shared" si="61"/>
        <v/>
      </c>
      <c r="DC45" s="11" t="str">
        <f t="shared" si="62"/>
        <v/>
      </c>
      <c r="DD45" s="11" t="str">
        <f t="shared" si="62"/>
        <v/>
      </c>
      <c r="DE45" s="11" t="str">
        <f t="shared" si="62"/>
        <v/>
      </c>
      <c r="DF45" s="11" t="str">
        <f t="shared" si="62"/>
        <v/>
      </c>
      <c r="DG45" s="11" t="str">
        <f t="shared" si="62"/>
        <v/>
      </c>
      <c r="DH45" s="11" t="str">
        <f t="shared" si="62"/>
        <v/>
      </c>
      <c r="DI45" s="11" t="str">
        <f t="shared" si="62"/>
        <v/>
      </c>
      <c r="DJ45" s="11" t="str">
        <f t="shared" si="62"/>
        <v/>
      </c>
      <c r="DK45" s="11" t="str">
        <f t="shared" si="62"/>
        <v/>
      </c>
      <c r="DL45" s="11" t="str">
        <f t="shared" si="62"/>
        <v/>
      </c>
      <c r="DM45" s="11" t="str">
        <f t="shared" si="63"/>
        <v/>
      </c>
      <c r="DN45" s="11" t="str">
        <f t="shared" si="63"/>
        <v/>
      </c>
      <c r="DO45" s="11" t="str">
        <f t="shared" si="63"/>
        <v/>
      </c>
      <c r="DP45" s="11" t="str">
        <f t="shared" si="63"/>
        <v/>
      </c>
      <c r="DQ45" s="11" t="str">
        <f t="shared" si="63"/>
        <v/>
      </c>
      <c r="DR45" s="11" t="str">
        <f t="shared" si="63"/>
        <v/>
      </c>
      <c r="DS45" s="11" t="str">
        <f t="shared" si="63"/>
        <v/>
      </c>
      <c r="DT45" s="11" t="str">
        <f t="shared" si="63"/>
        <v/>
      </c>
      <c r="DU45" s="11" t="str">
        <f t="shared" si="63"/>
        <v/>
      </c>
      <c r="DV45" s="11" t="str">
        <f t="shared" si="63"/>
        <v/>
      </c>
      <c r="DW45" s="11" t="str">
        <f t="shared" si="64"/>
        <v/>
      </c>
      <c r="DX45" s="11" t="str">
        <f t="shared" si="64"/>
        <v/>
      </c>
      <c r="DY45" s="11" t="str">
        <f t="shared" si="64"/>
        <v/>
      </c>
      <c r="DZ45" s="11" t="str">
        <f t="shared" si="64"/>
        <v/>
      </c>
      <c r="EA45" s="11" t="str">
        <f t="shared" si="64"/>
        <v/>
      </c>
      <c r="EB45" s="11" t="str">
        <f t="shared" si="64"/>
        <v/>
      </c>
      <c r="EC45" s="11" t="str">
        <f t="shared" si="64"/>
        <v/>
      </c>
      <c r="ED45" s="11" t="str">
        <f t="shared" si="64"/>
        <v/>
      </c>
      <c r="EE45" s="11" t="str">
        <f t="shared" si="64"/>
        <v/>
      </c>
      <c r="EF45" s="11" t="str">
        <f t="shared" si="64"/>
        <v/>
      </c>
      <c r="EG45" s="11" t="str">
        <f t="shared" si="64"/>
        <v/>
      </c>
      <c r="EH45" s="11" t="str">
        <f t="shared" si="64"/>
        <v/>
      </c>
    </row>
    <row r="46" spans="1:138" ht="13.5" customHeight="1">
      <c r="A46" s="55"/>
      <c r="B46" s="55"/>
      <c r="C46" s="55"/>
      <c r="D46" s="12" t="s">
        <v>80</v>
      </c>
      <c r="E46" s="10">
        <v>46280</v>
      </c>
      <c r="F46" s="10">
        <v>46280</v>
      </c>
      <c r="G46" s="13" t="str">
        <f t="shared" si="52"/>
        <v/>
      </c>
      <c r="H46" s="13" t="str">
        <f t="shared" si="52"/>
        <v/>
      </c>
      <c r="I46" s="13" t="str">
        <f t="shared" si="52"/>
        <v/>
      </c>
      <c r="J46" s="13" t="str">
        <f t="shared" si="52"/>
        <v/>
      </c>
      <c r="K46" s="13" t="str">
        <f t="shared" si="52"/>
        <v/>
      </c>
      <c r="L46" s="13" t="str">
        <f t="shared" si="52"/>
        <v/>
      </c>
      <c r="M46" s="13" t="str">
        <f t="shared" si="52"/>
        <v/>
      </c>
      <c r="N46" s="13" t="str">
        <f t="shared" si="52"/>
        <v/>
      </c>
      <c r="O46" s="13" t="str">
        <f t="shared" si="52"/>
        <v/>
      </c>
      <c r="P46" s="13" t="str">
        <f t="shared" si="52"/>
        <v/>
      </c>
      <c r="Q46" s="13" t="str">
        <f t="shared" si="53"/>
        <v/>
      </c>
      <c r="R46" s="13" t="str">
        <f t="shared" si="53"/>
        <v/>
      </c>
      <c r="S46" s="13" t="str">
        <f t="shared" si="53"/>
        <v/>
      </c>
      <c r="T46" s="13" t="str">
        <f t="shared" si="53"/>
        <v/>
      </c>
      <c r="U46" s="13" t="str">
        <f t="shared" si="53"/>
        <v/>
      </c>
      <c r="V46" s="13" t="str">
        <f t="shared" si="53"/>
        <v/>
      </c>
      <c r="W46" s="13" t="str">
        <f t="shared" si="53"/>
        <v/>
      </c>
      <c r="X46" s="13" t="str">
        <f t="shared" si="53"/>
        <v/>
      </c>
      <c r="Y46" s="13" t="str">
        <f t="shared" si="53"/>
        <v/>
      </c>
      <c r="Z46" s="13" t="str">
        <f t="shared" si="53"/>
        <v/>
      </c>
      <c r="AA46" s="13" t="str">
        <f t="shared" si="54"/>
        <v/>
      </c>
      <c r="AB46" s="13" t="str">
        <f t="shared" si="54"/>
        <v/>
      </c>
      <c r="AC46" s="13" t="str">
        <f t="shared" si="54"/>
        <v/>
      </c>
      <c r="AD46" s="13" t="str">
        <f t="shared" si="54"/>
        <v/>
      </c>
      <c r="AE46" s="13" t="str">
        <f t="shared" si="54"/>
        <v/>
      </c>
      <c r="AF46" s="13" t="str">
        <f t="shared" si="54"/>
        <v/>
      </c>
      <c r="AG46" s="13" t="str">
        <f t="shared" si="54"/>
        <v/>
      </c>
      <c r="AH46" s="13" t="str">
        <f t="shared" si="54"/>
        <v/>
      </c>
      <c r="AI46" s="13" t="str">
        <f t="shared" si="54"/>
        <v/>
      </c>
      <c r="AJ46" s="13" t="str">
        <f t="shared" si="54"/>
        <v/>
      </c>
      <c r="AK46" s="13" t="str">
        <f t="shared" si="55"/>
        <v/>
      </c>
      <c r="AL46" s="13" t="str">
        <f t="shared" si="55"/>
        <v/>
      </c>
      <c r="AM46" s="13" t="str">
        <f t="shared" si="55"/>
        <v/>
      </c>
      <c r="AN46" s="13" t="str">
        <f t="shared" si="55"/>
        <v/>
      </c>
      <c r="AO46" s="13" t="str">
        <f t="shared" si="55"/>
        <v/>
      </c>
      <c r="AP46" s="13" t="str">
        <f t="shared" si="55"/>
        <v/>
      </c>
      <c r="AQ46" s="13" t="str">
        <f t="shared" si="55"/>
        <v/>
      </c>
      <c r="AR46" s="13" t="str">
        <f t="shared" si="55"/>
        <v/>
      </c>
      <c r="AS46" s="13" t="str">
        <f t="shared" si="55"/>
        <v/>
      </c>
      <c r="AT46" s="13" t="str">
        <f t="shared" si="55"/>
        <v/>
      </c>
      <c r="AU46" s="13" t="str">
        <f t="shared" si="56"/>
        <v/>
      </c>
      <c r="AV46" s="13" t="str">
        <f t="shared" si="56"/>
        <v/>
      </c>
      <c r="AW46" s="13" t="str">
        <f t="shared" si="56"/>
        <v/>
      </c>
      <c r="AX46" s="13" t="str">
        <f t="shared" si="56"/>
        <v/>
      </c>
      <c r="AY46" s="13" t="str">
        <f t="shared" si="56"/>
        <v/>
      </c>
      <c r="AZ46" s="13" t="str">
        <f t="shared" si="56"/>
        <v>▪</v>
      </c>
      <c r="BA46" s="13" t="str">
        <f t="shared" si="56"/>
        <v/>
      </c>
      <c r="BB46" s="13" t="str">
        <f t="shared" si="56"/>
        <v/>
      </c>
      <c r="BC46" s="13" t="str">
        <f t="shared" si="56"/>
        <v/>
      </c>
      <c r="BD46" s="13" t="str">
        <f t="shared" si="56"/>
        <v/>
      </c>
      <c r="BE46" s="13" t="str">
        <f t="shared" si="57"/>
        <v/>
      </c>
      <c r="BF46" s="13" t="str">
        <f t="shared" si="57"/>
        <v/>
      </c>
      <c r="BG46" s="13" t="str">
        <f t="shared" si="57"/>
        <v/>
      </c>
      <c r="BH46" s="13" t="str">
        <f t="shared" si="57"/>
        <v/>
      </c>
      <c r="BI46" s="13" t="str">
        <f t="shared" si="57"/>
        <v/>
      </c>
      <c r="BJ46" s="13" t="str">
        <f t="shared" si="57"/>
        <v/>
      </c>
      <c r="BK46" s="13" t="str">
        <f t="shared" si="57"/>
        <v/>
      </c>
      <c r="BL46" s="13" t="str">
        <f t="shared" si="57"/>
        <v/>
      </c>
      <c r="BM46" s="13" t="str">
        <f t="shared" si="57"/>
        <v/>
      </c>
      <c r="BN46" s="13" t="str">
        <f t="shared" si="57"/>
        <v/>
      </c>
      <c r="BO46" s="13" t="str">
        <f t="shared" si="58"/>
        <v/>
      </c>
      <c r="BP46" s="13" t="str">
        <f t="shared" si="58"/>
        <v/>
      </c>
      <c r="BQ46" s="13" t="str">
        <f t="shared" si="58"/>
        <v/>
      </c>
      <c r="BR46" s="13" t="str">
        <f t="shared" si="58"/>
        <v/>
      </c>
      <c r="BS46" s="13" t="str">
        <f t="shared" si="58"/>
        <v/>
      </c>
      <c r="BT46" s="13" t="str">
        <f t="shared" si="58"/>
        <v/>
      </c>
      <c r="BU46" s="13" t="str">
        <f t="shared" si="58"/>
        <v/>
      </c>
      <c r="BV46" s="13" t="str">
        <f t="shared" si="58"/>
        <v/>
      </c>
      <c r="BW46" s="13" t="str">
        <f t="shared" si="58"/>
        <v/>
      </c>
      <c r="BX46" s="13" t="str">
        <f t="shared" si="58"/>
        <v/>
      </c>
      <c r="BY46" s="13" t="str">
        <f t="shared" si="59"/>
        <v/>
      </c>
      <c r="BZ46" s="13" t="str">
        <f t="shared" si="59"/>
        <v/>
      </c>
      <c r="CA46" s="13" t="str">
        <f t="shared" si="59"/>
        <v/>
      </c>
      <c r="CB46" s="13" t="str">
        <f t="shared" si="59"/>
        <v/>
      </c>
      <c r="CC46" s="13" t="str">
        <f t="shared" si="59"/>
        <v/>
      </c>
      <c r="CD46" s="13" t="str">
        <f t="shared" si="59"/>
        <v/>
      </c>
      <c r="CE46" s="13" t="str">
        <f t="shared" si="59"/>
        <v/>
      </c>
      <c r="CF46" s="13" t="str">
        <f t="shared" si="59"/>
        <v/>
      </c>
      <c r="CG46" s="13" t="str">
        <f t="shared" si="59"/>
        <v/>
      </c>
      <c r="CH46" s="13" t="str">
        <f t="shared" si="59"/>
        <v/>
      </c>
      <c r="CI46" s="13" t="str">
        <f t="shared" si="60"/>
        <v/>
      </c>
      <c r="CJ46" s="13" t="str">
        <f t="shared" si="60"/>
        <v/>
      </c>
      <c r="CK46" s="13" t="str">
        <f t="shared" si="60"/>
        <v/>
      </c>
      <c r="CL46" s="13" t="str">
        <f t="shared" si="60"/>
        <v/>
      </c>
      <c r="CM46" s="13" t="str">
        <f t="shared" si="60"/>
        <v/>
      </c>
      <c r="CN46" s="13" t="str">
        <f t="shared" si="60"/>
        <v/>
      </c>
      <c r="CO46" s="13" t="str">
        <f t="shared" si="60"/>
        <v/>
      </c>
      <c r="CP46" s="13" t="str">
        <f t="shared" si="60"/>
        <v/>
      </c>
      <c r="CQ46" s="13" t="str">
        <f t="shared" si="60"/>
        <v/>
      </c>
      <c r="CR46" s="13" t="str">
        <f t="shared" si="60"/>
        <v/>
      </c>
      <c r="CS46" s="13" t="str">
        <f t="shared" si="61"/>
        <v/>
      </c>
      <c r="CT46" s="13" t="str">
        <f t="shared" si="61"/>
        <v/>
      </c>
      <c r="CU46" s="13" t="str">
        <f t="shared" si="61"/>
        <v/>
      </c>
      <c r="CV46" s="13" t="str">
        <f t="shared" si="61"/>
        <v/>
      </c>
      <c r="CW46" s="13" t="str">
        <f t="shared" si="61"/>
        <v/>
      </c>
      <c r="CX46" s="13" t="str">
        <f t="shared" si="61"/>
        <v/>
      </c>
      <c r="CY46" s="13" t="str">
        <f t="shared" si="61"/>
        <v/>
      </c>
      <c r="CZ46" s="13" t="str">
        <f t="shared" si="61"/>
        <v/>
      </c>
      <c r="DA46" s="13" t="str">
        <f t="shared" si="61"/>
        <v/>
      </c>
      <c r="DB46" s="13" t="str">
        <f t="shared" si="61"/>
        <v/>
      </c>
      <c r="DC46" s="13" t="str">
        <f t="shared" si="62"/>
        <v/>
      </c>
      <c r="DD46" s="13" t="str">
        <f t="shared" si="62"/>
        <v/>
      </c>
      <c r="DE46" s="13" t="str">
        <f t="shared" si="62"/>
        <v/>
      </c>
      <c r="DF46" s="13" t="str">
        <f t="shared" si="62"/>
        <v/>
      </c>
      <c r="DG46" s="13" t="str">
        <f t="shared" si="62"/>
        <v/>
      </c>
      <c r="DH46" s="13" t="str">
        <f t="shared" si="62"/>
        <v/>
      </c>
      <c r="DI46" s="13" t="str">
        <f t="shared" si="62"/>
        <v/>
      </c>
      <c r="DJ46" s="13" t="str">
        <f t="shared" si="62"/>
        <v/>
      </c>
      <c r="DK46" s="13" t="str">
        <f t="shared" si="62"/>
        <v/>
      </c>
      <c r="DL46" s="13" t="str">
        <f t="shared" si="62"/>
        <v/>
      </c>
      <c r="DM46" s="13" t="str">
        <f t="shared" si="63"/>
        <v/>
      </c>
      <c r="DN46" s="13" t="str">
        <f t="shared" si="63"/>
        <v/>
      </c>
      <c r="DO46" s="13" t="str">
        <f t="shared" si="63"/>
        <v/>
      </c>
      <c r="DP46" s="13" t="str">
        <f t="shared" si="63"/>
        <v/>
      </c>
      <c r="DQ46" s="13" t="str">
        <f t="shared" si="63"/>
        <v/>
      </c>
      <c r="DR46" s="13" t="str">
        <f t="shared" si="63"/>
        <v/>
      </c>
      <c r="DS46" s="13" t="str">
        <f t="shared" si="63"/>
        <v/>
      </c>
      <c r="DT46" s="13" t="str">
        <f t="shared" si="63"/>
        <v/>
      </c>
      <c r="DU46" s="13" t="str">
        <f t="shared" si="63"/>
        <v/>
      </c>
      <c r="DV46" s="13" t="str">
        <f t="shared" si="63"/>
        <v/>
      </c>
      <c r="DW46" s="13" t="str">
        <f t="shared" si="64"/>
        <v/>
      </c>
      <c r="DX46" s="13" t="str">
        <f t="shared" si="64"/>
        <v/>
      </c>
      <c r="DY46" s="13" t="str">
        <f t="shared" si="64"/>
        <v/>
      </c>
      <c r="DZ46" s="13" t="str">
        <f t="shared" si="64"/>
        <v/>
      </c>
      <c r="EA46" s="13" t="str">
        <f t="shared" si="64"/>
        <v/>
      </c>
      <c r="EB46" s="13" t="str">
        <f t="shared" si="64"/>
        <v/>
      </c>
      <c r="EC46" s="13" t="str">
        <f t="shared" si="64"/>
        <v/>
      </c>
      <c r="ED46" s="13" t="str">
        <f t="shared" si="64"/>
        <v/>
      </c>
      <c r="EE46" s="13" t="str">
        <f t="shared" si="64"/>
        <v/>
      </c>
      <c r="EF46" s="13" t="str">
        <f t="shared" si="64"/>
        <v/>
      </c>
      <c r="EG46" s="13" t="str">
        <f t="shared" si="64"/>
        <v/>
      </c>
      <c r="EH46" s="13" t="str">
        <f t="shared" si="64"/>
        <v/>
      </c>
    </row>
    <row r="47" spans="1:138" ht="13.5" customHeight="1">
      <c r="A47" s="55" t="s">
        <v>126</v>
      </c>
      <c r="B47" s="56" t="s">
        <v>127</v>
      </c>
      <c r="C47" s="57" t="s">
        <v>95</v>
      </c>
      <c r="D47" s="9" t="s">
        <v>79</v>
      </c>
      <c r="E47" s="10">
        <v>46283</v>
      </c>
      <c r="F47" s="10">
        <v>46287</v>
      </c>
      <c r="G47" s="11" t="str">
        <f t="shared" si="52"/>
        <v/>
      </c>
      <c r="H47" s="11" t="str">
        <f t="shared" si="52"/>
        <v/>
      </c>
      <c r="I47" s="11" t="str">
        <f t="shared" si="52"/>
        <v/>
      </c>
      <c r="J47" s="11" t="str">
        <f t="shared" si="52"/>
        <v/>
      </c>
      <c r="K47" s="11" t="str">
        <f t="shared" si="52"/>
        <v/>
      </c>
      <c r="L47" s="11" t="str">
        <f t="shared" si="52"/>
        <v/>
      </c>
      <c r="M47" s="11" t="str">
        <f t="shared" si="52"/>
        <v/>
      </c>
      <c r="N47" s="11" t="str">
        <f t="shared" si="52"/>
        <v/>
      </c>
      <c r="O47" s="11" t="str">
        <f t="shared" si="52"/>
        <v/>
      </c>
      <c r="P47" s="11" t="str">
        <f t="shared" si="52"/>
        <v/>
      </c>
      <c r="Q47" s="11" t="str">
        <f t="shared" si="53"/>
        <v/>
      </c>
      <c r="R47" s="11" t="str">
        <f t="shared" si="53"/>
        <v/>
      </c>
      <c r="S47" s="11" t="str">
        <f t="shared" si="53"/>
        <v/>
      </c>
      <c r="T47" s="11" t="str">
        <f t="shared" si="53"/>
        <v/>
      </c>
      <c r="U47" s="11" t="str">
        <f t="shared" si="53"/>
        <v/>
      </c>
      <c r="V47" s="11" t="str">
        <f t="shared" si="53"/>
        <v/>
      </c>
      <c r="W47" s="11" t="str">
        <f t="shared" si="53"/>
        <v/>
      </c>
      <c r="X47" s="11" t="str">
        <f t="shared" si="53"/>
        <v/>
      </c>
      <c r="Y47" s="11" t="str">
        <f t="shared" si="53"/>
        <v/>
      </c>
      <c r="Z47" s="11" t="str">
        <f t="shared" si="53"/>
        <v/>
      </c>
      <c r="AA47" s="11" t="str">
        <f t="shared" si="54"/>
        <v/>
      </c>
      <c r="AB47" s="11" t="str">
        <f t="shared" si="54"/>
        <v/>
      </c>
      <c r="AC47" s="11" t="str">
        <f t="shared" si="54"/>
        <v/>
      </c>
      <c r="AD47" s="11" t="str">
        <f t="shared" si="54"/>
        <v/>
      </c>
      <c r="AE47" s="11" t="str">
        <f t="shared" si="54"/>
        <v/>
      </c>
      <c r="AF47" s="11" t="str">
        <f t="shared" si="54"/>
        <v/>
      </c>
      <c r="AG47" s="11" t="str">
        <f t="shared" si="54"/>
        <v/>
      </c>
      <c r="AH47" s="11" t="str">
        <f t="shared" si="54"/>
        <v/>
      </c>
      <c r="AI47" s="11" t="str">
        <f t="shared" si="54"/>
        <v/>
      </c>
      <c r="AJ47" s="11" t="str">
        <f t="shared" si="54"/>
        <v/>
      </c>
      <c r="AK47" s="11" t="str">
        <f t="shared" si="55"/>
        <v/>
      </c>
      <c r="AL47" s="11" t="str">
        <f t="shared" si="55"/>
        <v/>
      </c>
      <c r="AM47" s="11" t="str">
        <f t="shared" si="55"/>
        <v/>
      </c>
      <c r="AN47" s="11" t="str">
        <f t="shared" si="55"/>
        <v/>
      </c>
      <c r="AO47" s="11" t="str">
        <f t="shared" si="55"/>
        <v/>
      </c>
      <c r="AP47" s="11" t="str">
        <f t="shared" si="55"/>
        <v/>
      </c>
      <c r="AQ47" s="11" t="str">
        <f t="shared" si="55"/>
        <v/>
      </c>
      <c r="AR47" s="11" t="str">
        <f t="shared" si="55"/>
        <v/>
      </c>
      <c r="AS47" s="11" t="str">
        <f t="shared" si="55"/>
        <v/>
      </c>
      <c r="AT47" s="11" t="str">
        <f t="shared" si="55"/>
        <v/>
      </c>
      <c r="AU47" s="11" t="str">
        <f t="shared" si="56"/>
        <v/>
      </c>
      <c r="AV47" s="11" t="str">
        <f t="shared" si="56"/>
        <v/>
      </c>
      <c r="AW47" s="11" t="str">
        <f t="shared" si="56"/>
        <v/>
      </c>
      <c r="AX47" s="11" t="str">
        <f t="shared" si="56"/>
        <v/>
      </c>
      <c r="AY47" s="11" t="str">
        <f t="shared" si="56"/>
        <v/>
      </c>
      <c r="AZ47" s="11" t="str">
        <f t="shared" si="56"/>
        <v/>
      </c>
      <c r="BA47" s="11" t="str">
        <f t="shared" si="56"/>
        <v/>
      </c>
      <c r="BB47" s="11" t="str">
        <f t="shared" si="56"/>
        <v/>
      </c>
      <c r="BC47" s="11" t="str">
        <f t="shared" si="56"/>
        <v>▪</v>
      </c>
      <c r="BD47" s="11" t="str">
        <f t="shared" si="56"/>
        <v>▪</v>
      </c>
      <c r="BE47" s="11" t="str">
        <f t="shared" si="57"/>
        <v>▪</v>
      </c>
      <c r="BF47" s="11" t="str">
        <f t="shared" si="57"/>
        <v>▪</v>
      </c>
      <c r="BG47" s="11" t="str">
        <f t="shared" si="57"/>
        <v>▪</v>
      </c>
      <c r="BH47" s="11" t="str">
        <f t="shared" si="57"/>
        <v/>
      </c>
      <c r="BI47" s="11" t="str">
        <f t="shared" si="57"/>
        <v/>
      </c>
      <c r="BJ47" s="11" t="str">
        <f t="shared" si="57"/>
        <v/>
      </c>
      <c r="BK47" s="11" t="str">
        <f t="shared" si="57"/>
        <v/>
      </c>
      <c r="BL47" s="11" t="str">
        <f t="shared" si="57"/>
        <v/>
      </c>
      <c r="BM47" s="11" t="str">
        <f t="shared" si="57"/>
        <v/>
      </c>
      <c r="BN47" s="11" t="str">
        <f t="shared" si="57"/>
        <v/>
      </c>
      <c r="BO47" s="11" t="str">
        <f t="shared" si="58"/>
        <v/>
      </c>
      <c r="BP47" s="11" t="str">
        <f t="shared" si="58"/>
        <v/>
      </c>
      <c r="BQ47" s="11" t="str">
        <f t="shared" si="58"/>
        <v/>
      </c>
      <c r="BR47" s="11" t="str">
        <f t="shared" si="58"/>
        <v/>
      </c>
      <c r="BS47" s="11" t="str">
        <f t="shared" si="58"/>
        <v/>
      </c>
      <c r="BT47" s="11" t="str">
        <f t="shared" si="58"/>
        <v/>
      </c>
      <c r="BU47" s="11" t="str">
        <f t="shared" si="58"/>
        <v/>
      </c>
      <c r="BV47" s="11" t="str">
        <f t="shared" si="58"/>
        <v/>
      </c>
      <c r="BW47" s="11" t="str">
        <f t="shared" si="58"/>
        <v/>
      </c>
      <c r="BX47" s="11" t="str">
        <f t="shared" si="58"/>
        <v/>
      </c>
      <c r="BY47" s="11" t="str">
        <f t="shared" si="59"/>
        <v/>
      </c>
      <c r="BZ47" s="11" t="str">
        <f t="shared" si="59"/>
        <v/>
      </c>
      <c r="CA47" s="11" t="str">
        <f t="shared" si="59"/>
        <v/>
      </c>
      <c r="CB47" s="11" t="str">
        <f t="shared" si="59"/>
        <v/>
      </c>
      <c r="CC47" s="11" t="str">
        <f t="shared" si="59"/>
        <v/>
      </c>
      <c r="CD47" s="11" t="str">
        <f t="shared" si="59"/>
        <v/>
      </c>
      <c r="CE47" s="11" t="str">
        <f t="shared" si="59"/>
        <v/>
      </c>
      <c r="CF47" s="11" t="str">
        <f t="shared" si="59"/>
        <v/>
      </c>
      <c r="CG47" s="11" t="str">
        <f t="shared" si="59"/>
        <v/>
      </c>
      <c r="CH47" s="11" t="str">
        <f t="shared" si="59"/>
        <v/>
      </c>
      <c r="CI47" s="11" t="str">
        <f t="shared" si="60"/>
        <v/>
      </c>
      <c r="CJ47" s="11" t="str">
        <f t="shared" si="60"/>
        <v/>
      </c>
      <c r="CK47" s="11" t="str">
        <f t="shared" si="60"/>
        <v/>
      </c>
      <c r="CL47" s="11" t="str">
        <f t="shared" si="60"/>
        <v/>
      </c>
      <c r="CM47" s="11" t="str">
        <f t="shared" si="60"/>
        <v/>
      </c>
      <c r="CN47" s="11" t="str">
        <f t="shared" si="60"/>
        <v/>
      </c>
      <c r="CO47" s="11" t="str">
        <f t="shared" si="60"/>
        <v/>
      </c>
      <c r="CP47" s="11" t="str">
        <f t="shared" si="60"/>
        <v/>
      </c>
      <c r="CQ47" s="11" t="str">
        <f t="shared" si="60"/>
        <v/>
      </c>
      <c r="CR47" s="11" t="str">
        <f t="shared" si="60"/>
        <v/>
      </c>
      <c r="CS47" s="11" t="str">
        <f t="shared" si="61"/>
        <v/>
      </c>
      <c r="CT47" s="11" t="str">
        <f t="shared" si="61"/>
        <v/>
      </c>
      <c r="CU47" s="11" t="str">
        <f t="shared" si="61"/>
        <v/>
      </c>
      <c r="CV47" s="11" t="str">
        <f t="shared" si="61"/>
        <v/>
      </c>
      <c r="CW47" s="11" t="str">
        <f t="shared" si="61"/>
        <v/>
      </c>
      <c r="CX47" s="11" t="str">
        <f t="shared" si="61"/>
        <v/>
      </c>
      <c r="CY47" s="11" t="str">
        <f t="shared" si="61"/>
        <v/>
      </c>
      <c r="CZ47" s="11" t="str">
        <f t="shared" si="61"/>
        <v/>
      </c>
      <c r="DA47" s="11" t="str">
        <f t="shared" si="61"/>
        <v/>
      </c>
      <c r="DB47" s="11" t="str">
        <f t="shared" si="61"/>
        <v/>
      </c>
      <c r="DC47" s="11" t="str">
        <f t="shared" si="62"/>
        <v/>
      </c>
      <c r="DD47" s="11" t="str">
        <f t="shared" si="62"/>
        <v/>
      </c>
      <c r="DE47" s="11" t="str">
        <f t="shared" si="62"/>
        <v/>
      </c>
      <c r="DF47" s="11" t="str">
        <f t="shared" si="62"/>
        <v/>
      </c>
      <c r="DG47" s="11" t="str">
        <f t="shared" si="62"/>
        <v/>
      </c>
      <c r="DH47" s="11" t="str">
        <f t="shared" si="62"/>
        <v/>
      </c>
      <c r="DI47" s="11" t="str">
        <f t="shared" si="62"/>
        <v/>
      </c>
      <c r="DJ47" s="11" t="str">
        <f t="shared" si="62"/>
        <v/>
      </c>
      <c r="DK47" s="11" t="str">
        <f t="shared" si="62"/>
        <v/>
      </c>
      <c r="DL47" s="11" t="str">
        <f t="shared" si="62"/>
        <v/>
      </c>
      <c r="DM47" s="11" t="str">
        <f t="shared" si="63"/>
        <v/>
      </c>
      <c r="DN47" s="11" t="str">
        <f t="shared" si="63"/>
        <v/>
      </c>
      <c r="DO47" s="11" t="str">
        <f t="shared" si="63"/>
        <v/>
      </c>
      <c r="DP47" s="11" t="str">
        <f t="shared" si="63"/>
        <v/>
      </c>
      <c r="DQ47" s="11" t="str">
        <f t="shared" si="63"/>
        <v/>
      </c>
      <c r="DR47" s="11" t="str">
        <f t="shared" si="63"/>
        <v/>
      </c>
      <c r="DS47" s="11" t="str">
        <f t="shared" si="63"/>
        <v/>
      </c>
      <c r="DT47" s="11" t="str">
        <f t="shared" si="63"/>
        <v/>
      </c>
      <c r="DU47" s="11" t="str">
        <f t="shared" si="63"/>
        <v/>
      </c>
      <c r="DV47" s="11" t="str">
        <f t="shared" si="63"/>
        <v/>
      </c>
      <c r="DW47" s="11" t="str">
        <f t="shared" si="64"/>
        <v/>
      </c>
      <c r="DX47" s="11" t="str">
        <f t="shared" si="64"/>
        <v/>
      </c>
      <c r="DY47" s="11" t="str">
        <f t="shared" si="64"/>
        <v/>
      </c>
      <c r="DZ47" s="11" t="str">
        <f t="shared" si="64"/>
        <v/>
      </c>
      <c r="EA47" s="11" t="str">
        <f t="shared" si="64"/>
        <v/>
      </c>
      <c r="EB47" s="11" t="str">
        <f t="shared" si="64"/>
        <v/>
      </c>
      <c r="EC47" s="11" t="str">
        <f t="shared" si="64"/>
        <v/>
      </c>
      <c r="ED47" s="11" t="str">
        <f t="shared" si="64"/>
        <v/>
      </c>
      <c r="EE47" s="11" t="str">
        <f t="shared" si="64"/>
        <v/>
      </c>
      <c r="EF47" s="11" t="str">
        <f t="shared" si="64"/>
        <v/>
      </c>
      <c r="EG47" s="11" t="str">
        <f t="shared" si="64"/>
        <v/>
      </c>
      <c r="EH47" s="11" t="str">
        <f t="shared" si="64"/>
        <v/>
      </c>
    </row>
    <row r="48" spans="1:138" ht="13.5" customHeight="1">
      <c r="A48" s="55"/>
      <c r="B48" s="55"/>
      <c r="C48" s="55"/>
      <c r="D48" s="12" t="s">
        <v>80</v>
      </c>
      <c r="E48" s="10">
        <v>46281</v>
      </c>
      <c r="F48" s="10">
        <v>46283</v>
      </c>
      <c r="G48" s="13" t="str">
        <f t="shared" si="52"/>
        <v/>
      </c>
      <c r="H48" s="13" t="str">
        <f t="shared" si="52"/>
        <v/>
      </c>
      <c r="I48" s="13" t="str">
        <f t="shared" si="52"/>
        <v/>
      </c>
      <c r="J48" s="13" t="str">
        <f t="shared" si="52"/>
        <v/>
      </c>
      <c r="K48" s="13" t="str">
        <f t="shared" si="52"/>
        <v/>
      </c>
      <c r="L48" s="13" t="str">
        <f t="shared" si="52"/>
        <v/>
      </c>
      <c r="M48" s="13" t="str">
        <f t="shared" si="52"/>
        <v/>
      </c>
      <c r="N48" s="13" t="str">
        <f t="shared" si="52"/>
        <v/>
      </c>
      <c r="O48" s="13" t="str">
        <f t="shared" si="52"/>
        <v/>
      </c>
      <c r="P48" s="13" t="str">
        <f t="shared" si="52"/>
        <v/>
      </c>
      <c r="Q48" s="13" t="str">
        <f t="shared" si="53"/>
        <v/>
      </c>
      <c r="R48" s="13" t="str">
        <f t="shared" si="53"/>
        <v/>
      </c>
      <c r="S48" s="13" t="str">
        <f t="shared" si="53"/>
        <v/>
      </c>
      <c r="T48" s="13" t="str">
        <f t="shared" si="53"/>
        <v/>
      </c>
      <c r="U48" s="13" t="str">
        <f t="shared" si="53"/>
        <v/>
      </c>
      <c r="V48" s="13" t="str">
        <f t="shared" si="53"/>
        <v/>
      </c>
      <c r="W48" s="13" t="str">
        <f t="shared" si="53"/>
        <v/>
      </c>
      <c r="X48" s="13" t="str">
        <f t="shared" si="53"/>
        <v/>
      </c>
      <c r="Y48" s="13" t="str">
        <f t="shared" si="53"/>
        <v/>
      </c>
      <c r="Z48" s="13" t="str">
        <f t="shared" si="53"/>
        <v/>
      </c>
      <c r="AA48" s="13" t="str">
        <f t="shared" si="54"/>
        <v/>
      </c>
      <c r="AB48" s="13" t="str">
        <f t="shared" si="54"/>
        <v/>
      </c>
      <c r="AC48" s="13" t="str">
        <f t="shared" si="54"/>
        <v/>
      </c>
      <c r="AD48" s="13" t="str">
        <f t="shared" si="54"/>
        <v/>
      </c>
      <c r="AE48" s="13" t="str">
        <f t="shared" si="54"/>
        <v/>
      </c>
      <c r="AF48" s="13" t="str">
        <f t="shared" si="54"/>
        <v/>
      </c>
      <c r="AG48" s="13" t="str">
        <f t="shared" si="54"/>
        <v/>
      </c>
      <c r="AH48" s="13" t="str">
        <f t="shared" si="54"/>
        <v/>
      </c>
      <c r="AI48" s="13" t="str">
        <f t="shared" si="54"/>
        <v/>
      </c>
      <c r="AJ48" s="13" t="str">
        <f t="shared" si="54"/>
        <v/>
      </c>
      <c r="AK48" s="13" t="str">
        <f t="shared" si="55"/>
        <v/>
      </c>
      <c r="AL48" s="13" t="str">
        <f t="shared" si="55"/>
        <v/>
      </c>
      <c r="AM48" s="13" t="str">
        <f t="shared" si="55"/>
        <v/>
      </c>
      <c r="AN48" s="13" t="str">
        <f t="shared" si="55"/>
        <v/>
      </c>
      <c r="AO48" s="13" t="str">
        <f t="shared" si="55"/>
        <v/>
      </c>
      <c r="AP48" s="13" t="str">
        <f t="shared" si="55"/>
        <v/>
      </c>
      <c r="AQ48" s="13" t="str">
        <f t="shared" si="55"/>
        <v/>
      </c>
      <c r="AR48" s="13" t="str">
        <f t="shared" si="55"/>
        <v/>
      </c>
      <c r="AS48" s="13" t="str">
        <f t="shared" si="55"/>
        <v/>
      </c>
      <c r="AT48" s="13" t="str">
        <f t="shared" si="55"/>
        <v/>
      </c>
      <c r="AU48" s="13" t="str">
        <f t="shared" si="56"/>
        <v/>
      </c>
      <c r="AV48" s="13" t="str">
        <f t="shared" si="56"/>
        <v/>
      </c>
      <c r="AW48" s="13" t="str">
        <f t="shared" si="56"/>
        <v/>
      </c>
      <c r="AX48" s="13" t="str">
        <f t="shared" si="56"/>
        <v/>
      </c>
      <c r="AY48" s="13" t="str">
        <f t="shared" si="56"/>
        <v/>
      </c>
      <c r="AZ48" s="13" t="str">
        <f t="shared" si="56"/>
        <v/>
      </c>
      <c r="BA48" s="13" t="str">
        <f t="shared" si="56"/>
        <v>▪</v>
      </c>
      <c r="BB48" s="13" t="str">
        <f t="shared" si="56"/>
        <v>▪</v>
      </c>
      <c r="BC48" s="13" t="str">
        <f t="shared" si="56"/>
        <v>▪</v>
      </c>
      <c r="BD48" s="13" t="str">
        <f t="shared" si="56"/>
        <v/>
      </c>
      <c r="BE48" s="13" t="str">
        <f t="shared" si="57"/>
        <v/>
      </c>
      <c r="BF48" s="13" t="str">
        <f t="shared" si="57"/>
        <v/>
      </c>
      <c r="BG48" s="13" t="str">
        <f t="shared" si="57"/>
        <v/>
      </c>
      <c r="BH48" s="13" t="str">
        <f t="shared" si="57"/>
        <v/>
      </c>
      <c r="BI48" s="13" t="str">
        <f t="shared" si="57"/>
        <v/>
      </c>
      <c r="BJ48" s="13" t="str">
        <f t="shared" si="57"/>
        <v/>
      </c>
      <c r="BK48" s="13" t="str">
        <f t="shared" si="57"/>
        <v/>
      </c>
      <c r="BL48" s="13" t="str">
        <f t="shared" si="57"/>
        <v/>
      </c>
      <c r="BM48" s="13" t="str">
        <f t="shared" si="57"/>
        <v/>
      </c>
      <c r="BN48" s="13" t="str">
        <f t="shared" si="57"/>
        <v/>
      </c>
      <c r="BO48" s="13" t="str">
        <f t="shared" si="58"/>
        <v/>
      </c>
      <c r="BP48" s="13" t="str">
        <f t="shared" si="58"/>
        <v/>
      </c>
      <c r="BQ48" s="13" t="str">
        <f t="shared" si="58"/>
        <v/>
      </c>
      <c r="BR48" s="13" t="str">
        <f t="shared" si="58"/>
        <v/>
      </c>
      <c r="BS48" s="13" t="str">
        <f t="shared" si="58"/>
        <v/>
      </c>
      <c r="BT48" s="13" t="str">
        <f t="shared" si="58"/>
        <v/>
      </c>
      <c r="BU48" s="13" t="str">
        <f t="shared" si="58"/>
        <v/>
      </c>
      <c r="BV48" s="13" t="str">
        <f t="shared" si="58"/>
        <v/>
      </c>
      <c r="BW48" s="13" t="str">
        <f t="shared" si="58"/>
        <v/>
      </c>
      <c r="BX48" s="13" t="str">
        <f t="shared" si="58"/>
        <v/>
      </c>
      <c r="BY48" s="13" t="str">
        <f t="shared" si="59"/>
        <v/>
      </c>
      <c r="BZ48" s="13" t="str">
        <f t="shared" si="59"/>
        <v/>
      </c>
      <c r="CA48" s="13" t="str">
        <f t="shared" si="59"/>
        <v/>
      </c>
      <c r="CB48" s="13" t="str">
        <f t="shared" si="59"/>
        <v/>
      </c>
      <c r="CC48" s="13" t="str">
        <f t="shared" si="59"/>
        <v/>
      </c>
      <c r="CD48" s="13" t="str">
        <f t="shared" si="59"/>
        <v/>
      </c>
      <c r="CE48" s="13" t="str">
        <f t="shared" si="59"/>
        <v/>
      </c>
      <c r="CF48" s="13" t="str">
        <f t="shared" si="59"/>
        <v/>
      </c>
      <c r="CG48" s="13" t="str">
        <f t="shared" si="59"/>
        <v/>
      </c>
      <c r="CH48" s="13" t="str">
        <f t="shared" si="59"/>
        <v/>
      </c>
      <c r="CI48" s="13" t="str">
        <f t="shared" si="60"/>
        <v/>
      </c>
      <c r="CJ48" s="13" t="str">
        <f t="shared" si="60"/>
        <v/>
      </c>
      <c r="CK48" s="13" t="str">
        <f t="shared" si="60"/>
        <v/>
      </c>
      <c r="CL48" s="13" t="str">
        <f t="shared" si="60"/>
        <v/>
      </c>
      <c r="CM48" s="13" t="str">
        <f t="shared" si="60"/>
        <v/>
      </c>
      <c r="CN48" s="13" t="str">
        <f t="shared" si="60"/>
        <v/>
      </c>
      <c r="CO48" s="13" t="str">
        <f t="shared" si="60"/>
        <v/>
      </c>
      <c r="CP48" s="13" t="str">
        <f t="shared" si="60"/>
        <v/>
      </c>
      <c r="CQ48" s="13" t="str">
        <f t="shared" si="60"/>
        <v/>
      </c>
      <c r="CR48" s="13" t="str">
        <f t="shared" si="60"/>
        <v/>
      </c>
      <c r="CS48" s="13" t="str">
        <f t="shared" si="61"/>
        <v/>
      </c>
      <c r="CT48" s="13" t="str">
        <f t="shared" si="61"/>
        <v/>
      </c>
      <c r="CU48" s="13" t="str">
        <f t="shared" si="61"/>
        <v/>
      </c>
      <c r="CV48" s="13" t="str">
        <f t="shared" si="61"/>
        <v/>
      </c>
      <c r="CW48" s="13" t="str">
        <f t="shared" si="61"/>
        <v/>
      </c>
      <c r="CX48" s="13" t="str">
        <f t="shared" si="61"/>
        <v/>
      </c>
      <c r="CY48" s="13" t="str">
        <f t="shared" si="61"/>
        <v/>
      </c>
      <c r="CZ48" s="13" t="str">
        <f t="shared" si="61"/>
        <v/>
      </c>
      <c r="DA48" s="13" t="str">
        <f t="shared" si="61"/>
        <v/>
      </c>
      <c r="DB48" s="13" t="str">
        <f t="shared" si="61"/>
        <v/>
      </c>
      <c r="DC48" s="13" t="str">
        <f t="shared" si="62"/>
        <v/>
      </c>
      <c r="DD48" s="13" t="str">
        <f t="shared" si="62"/>
        <v/>
      </c>
      <c r="DE48" s="13" t="str">
        <f t="shared" si="62"/>
        <v/>
      </c>
      <c r="DF48" s="13" t="str">
        <f t="shared" si="62"/>
        <v/>
      </c>
      <c r="DG48" s="13" t="str">
        <f t="shared" si="62"/>
        <v/>
      </c>
      <c r="DH48" s="13" t="str">
        <f t="shared" si="62"/>
        <v/>
      </c>
      <c r="DI48" s="13" t="str">
        <f t="shared" si="62"/>
        <v/>
      </c>
      <c r="DJ48" s="13" t="str">
        <f t="shared" si="62"/>
        <v/>
      </c>
      <c r="DK48" s="13" t="str">
        <f t="shared" si="62"/>
        <v/>
      </c>
      <c r="DL48" s="13" t="str">
        <f t="shared" si="62"/>
        <v/>
      </c>
      <c r="DM48" s="13" t="str">
        <f t="shared" si="63"/>
        <v/>
      </c>
      <c r="DN48" s="13" t="str">
        <f t="shared" si="63"/>
        <v/>
      </c>
      <c r="DO48" s="13" t="str">
        <f t="shared" si="63"/>
        <v/>
      </c>
      <c r="DP48" s="13" t="str">
        <f t="shared" si="63"/>
        <v/>
      </c>
      <c r="DQ48" s="13" t="str">
        <f t="shared" si="63"/>
        <v/>
      </c>
      <c r="DR48" s="13" t="str">
        <f t="shared" si="63"/>
        <v/>
      </c>
      <c r="DS48" s="13" t="str">
        <f t="shared" si="63"/>
        <v/>
      </c>
      <c r="DT48" s="13" t="str">
        <f t="shared" si="63"/>
        <v/>
      </c>
      <c r="DU48" s="13" t="str">
        <f t="shared" si="63"/>
        <v/>
      </c>
      <c r="DV48" s="13" t="str">
        <f t="shared" si="63"/>
        <v/>
      </c>
      <c r="DW48" s="13" t="str">
        <f t="shared" si="64"/>
        <v/>
      </c>
      <c r="DX48" s="13" t="str">
        <f t="shared" si="64"/>
        <v/>
      </c>
      <c r="DY48" s="13" t="str">
        <f t="shared" si="64"/>
        <v/>
      </c>
      <c r="DZ48" s="13" t="str">
        <f t="shared" si="64"/>
        <v/>
      </c>
      <c r="EA48" s="13" t="str">
        <f t="shared" si="64"/>
        <v/>
      </c>
      <c r="EB48" s="13" t="str">
        <f t="shared" si="64"/>
        <v/>
      </c>
      <c r="EC48" s="13" t="str">
        <f t="shared" si="64"/>
        <v/>
      </c>
      <c r="ED48" s="13" t="str">
        <f t="shared" si="64"/>
        <v/>
      </c>
      <c r="EE48" s="13" t="str">
        <f t="shared" si="64"/>
        <v/>
      </c>
      <c r="EF48" s="13" t="str">
        <f t="shared" si="64"/>
        <v/>
      </c>
      <c r="EG48" s="13" t="str">
        <f t="shared" si="64"/>
        <v/>
      </c>
      <c r="EH48" s="13" t="str">
        <f t="shared" si="64"/>
        <v/>
      </c>
    </row>
    <row r="49" spans="1:138" ht="13.5" customHeight="1">
      <c r="A49" s="55" t="s">
        <v>128</v>
      </c>
      <c r="B49" s="56" t="s">
        <v>129</v>
      </c>
      <c r="C49" s="57" t="s">
        <v>86</v>
      </c>
      <c r="D49" s="9" t="s">
        <v>79</v>
      </c>
      <c r="E49" s="10">
        <v>46287</v>
      </c>
      <c r="F49" s="10">
        <v>46289</v>
      </c>
      <c r="G49" s="11" t="str">
        <f t="shared" si="52"/>
        <v/>
      </c>
      <c r="H49" s="11" t="str">
        <f t="shared" si="52"/>
        <v/>
      </c>
      <c r="I49" s="11" t="str">
        <f t="shared" si="52"/>
        <v/>
      </c>
      <c r="J49" s="11" t="str">
        <f t="shared" si="52"/>
        <v/>
      </c>
      <c r="K49" s="11" t="str">
        <f t="shared" si="52"/>
        <v/>
      </c>
      <c r="L49" s="11" t="str">
        <f t="shared" si="52"/>
        <v/>
      </c>
      <c r="M49" s="11" t="str">
        <f t="shared" si="52"/>
        <v/>
      </c>
      <c r="N49" s="11" t="str">
        <f t="shared" si="52"/>
        <v/>
      </c>
      <c r="O49" s="11" t="str">
        <f t="shared" si="52"/>
        <v/>
      </c>
      <c r="P49" s="11" t="str">
        <f t="shared" si="52"/>
        <v/>
      </c>
      <c r="Q49" s="11" t="str">
        <f t="shared" si="53"/>
        <v/>
      </c>
      <c r="R49" s="11" t="str">
        <f t="shared" si="53"/>
        <v/>
      </c>
      <c r="S49" s="11" t="str">
        <f t="shared" si="53"/>
        <v/>
      </c>
      <c r="T49" s="11" t="str">
        <f t="shared" si="53"/>
        <v/>
      </c>
      <c r="U49" s="11" t="str">
        <f t="shared" si="53"/>
        <v/>
      </c>
      <c r="V49" s="11" t="str">
        <f t="shared" si="53"/>
        <v/>
      </c>
      <c r="W49" s="11" t="str">
        <f t="shared" si="53"/>
        <v/>
      </c>
      <c r="X49" s="11" t="str">
        <f t="shared" si="53"/>
        <v/>
      </c>
      <c r="Y49" s="11" t="str">
        <f t="shared" si="53"/>
        <v/>
      </c>
      <c r="Z49" s="11" t="str">
        <f t="shared" si="53"/>
        <v/>
      </c>
      <c r="AA49" s="11" t="str">
        <f t="shared" si="54"/>
        <v/>
      </c>
      <c r="AB49" s="11" t="str">
        <f t="shared" si="54"/>
        <v/>
      </c>
      <c r="AC49" s="11" t="str">
        <f t="shared" si="54"/>
        <v/>
      </c>
      <c r="AD49" s="11" t="str">
        <f t="shared" si="54"/>
        <v/>
      </c>
      <c r="AE49" s="11" t="str">
        <f t="shared" si="54"/>
        <v/>
      </c>
      <c r="AF49" s="11" t="str">
        <f t="shared" si="54"/>
        <v/>
      </c>
      <c r="AG49" s="11" t="str">
        <f t="shared" si="54"/>
        <v/>
      </c>
      <c r="AH49" s="11" t="str">
        <f t="shared" si="54"/>
        <v/>
      </c>
      <c r="AI49" s="11" t="str">
        <f t="shared" si="54"/>
        <v/>
      </c>
      <c r="AJ49" s="11" t="str">
        <f t="shared" si="54"/>
        <v/>
      </c>
      <c r="AK49" s="11" t="str">
        <f t="shared" si="55"/>
        <v/>
      </c>
      <c r="AL49" s="11" t="str">
        <f t="shared" si="55"/>
        <v/>
      </c>
      <c r="AM49" s="11" t="str">
        <f t="shared" si="55"/>
        <v/>
      </c>
      <c r="AN49" s="11" t="str">
        <f t="shared" si="55"/>
        <v/>
      </c>
      <c r="AO49" s="11" t="str">
        <f t="shared" si="55"/>
        <v/>
      </c>
      <c r="AP49" s="11" t="str">
        <f t="shared" si="55"/>
        <v/>
      </c>
      <c r="AQ49" s="11" t="str">
        <f t="shared" si="55"/>
        <v/>
      </c>
      <c r="AR49" s="11" t="str">
        <f t="shared" si="55"/>
        <v/>
      </c>
      <c r="AS49" s="11" t="str">
        <f t="shared" si="55"/>
        <v/>
      </c>
      <c r="AT49" s="11" t="str">
        <f t="shared" si="55"/>
        <v/>
      </c>
      <c r="AU49" s="11" t="str">
        <f t="shared" si="56"/>
        <v/>
      </c>
      <c r="AV49" s="11" t="str">
        <f t="shared" si="56"/>
        <v/>
      </c>
      <c r="AW49" s="11" t="str">
        <f t="shared" si="56"/>
        <v/>
      </c>
      <c r="AX49" s="11" t="str">
        <f t="shared" si="56"/>
        <v/>
      </c>
      <c r="AY49" s="11" t="str">
        <f t="shared" si="56"/>
        <v/>
      </c>
      <c r="AZ49" s="11" t="str">
        <f t="shared" si="56"/>
        <v/>
      </c>
      <c r="BA49" s="11" t="str">
        <f t="shared" si="56"/>
        <v/>
      </c>
      <c r="BB49" s="11" t="str">
        <f t="shared" si="56"/>
        <v/>
      </c>
      <c r="BC49" s="11" t="str">
        <f t="shared" si="56"/>
        <v/>
      </c>
      <c r="BD49" s="11" t="str">
        <f t="shared" si="56"/>
        <v/>
      </c>
      <c r="BE49" s="11" t="str">
        <f t="shared" si="57"/>
        <v/>
      </c>
      <c r="BF49" s="11" t="str">
        <f t="shared" si="57"/>
        <v/>
      </c>
      <c r="BG49" s="11" t="str">
        <f t="shared" si="57"/>
        <v>▪</v>
      </c>
      <c r="BH49" s="11" t="str">
        <f t="shared" si="57"/>
        <v>▪</v>
      </c>
      <c r="BI49" s="11" t="str">
        <f t="shared" si="57"/>
        <v>▪</v>
      </c>
      <c r="BJ49" s="11" t="str">
        <f t="shared" si="57"/>
        <v/>
      </c>
      <c r="BK49" s="11" t="str">
        <f t="shared" si="57"/>
        <v/>
      </c>
      <c r="BL49" s="11" t="str">
        <f t="shared" si="57"/>
        <v/>
      </c>
      <c r="BM49" s="11" t="str">
        <f t="shared" si="57"/>
        <v/>
      </c>
      <c r="BN49" s="11" t="str">
        <f t="shared" si="57"/>
        <v/>
      </c>
      <c r="BO49" s="11" t="str">
        <f t="shared" si="58"/>
        <v/>
      </c>
      <c r="BP49" s="11" t="str">
        <f t="shared" si="58"/>
        <v/>
      </c>
      <c r="BQ49" s="11" t="str">
        <f t="shared" si="58"/>
        <v/>
      </c>
      <c r="BR49" s="11" t="str">
        <f t="shared" si="58"/>
        <v/>
      </c>
      <c r="BS49" s="11" t="str">
        <f t="shared" si="58"/>
        <v/>
      </c>
      <c r="BT49" s="11" t="str">
        <f t="shared" si="58"/>
        <v/>
      </c>
      <c r="BU49" s="11" t="str">
        <f t="shared" si="58"/>
        <v/>
      </c>
      <c r="BV49" s="11" t="str">
        <f t="shared" si="58"/>
        <v/>
      </c>
      <c r="BW49" s="11" t="str">
        <f t="shared" si="58"/>
        <v/>
      </c>
      <c r="BX49" s="11" t="str">
        <f t="shared" si="58"/>
        <v/>
      </c>
      <c r="BY49" s="11" t="str">
        <f t="shared" si="59"/>
        <v/>
      </c>
      <c r="BZ49" s="11" t="str">
        <f t="shared" si="59"/>
        <v/>
      </c>
      <c r="CA49" s="11" t="str">
        <f t="shared" si="59"/>
        <v/>
      </c>
      <c r="CB49" s="11" t="str">
        <f t="shared" si="59"/>
        <v/>
      </c>
      <c r="CC49" s="11" t="str">
        <f t="shared" si="59"/>
        <v/>
      </c>
      <c r="CD49" s="11" t="str">
        <f t="shared" si="59"/>
        <v/>
      </c>
      <c r="CE49" s="11" t="str">
        <f t="shared" si="59"/>
        <v/>
      </c>
      <c r="CF49" s="11" t="str">
        <f t="shared" si="59"/>
        <v/>
      </c>
      <c r="CG49" s="11" t="str">
        <f t="shared" si="59"/>
        <v/>
      </c>
      <c r="CH49" s="11" t="str">
        <f t="shared" si="59"/>
        <v/>
      </c>
      <c r="CI49" s="11" t="str">
        <f t="shared" si="60"/>
        <v/>
      </c>
      <c r="CJ49" s="11" t="str">
        <f t="shared" si="60"/>
        <v/>
      </c>
      <c r="CK49" s="11" t="str">
        <f t="shared" si="60"/>
        <v/>
      </c>
      <c r="CL49" s="11" t="str">
        <f t="shared" si="60"/>
        <v/>
      </c>
      <c r="CM49" s="11" t="str">
        <f t="shared" si="60"/>
        <v/>
      </c>
      <c r="CN49" s="11" t="str">
        <f t="shared" si="60"/>
        <v/>
      </c>
      <c r="CO49" s="11" t="str">
        <f t="shared" si="60"/>
        <v/>
      </c>
      <c r="CP49" s="11" t="str">
        <f t="shared" si="60"/>
        <v/>
      </c>
      <c r="CQ49" s="11" t="str">
        <f t="shared" si="60"/>
        <v/>
      </c>
      <c r="CR49" s="11" t="str">
        <f t="shared" si="60"/>
        <v/>
      </c>
      <c r="CS49" s="11" t="str">
        <f t="shared" si="61"/>
        <v/>
      </c>
      <c r="CT49" s="11" t="str">
        <f t="shared" si="61"/>
        <v/>
      </c>
      <c r="CU49" s="11" t="str">
        <f t="shared" si="61"/>
        <v/>
      </c>
      <c r="CV49" s="11" t="str">
        <f t="shared" si="61"/>
        <v/>
      </c>
      <c r="CW49" s="11" t="str">
        <f t="shared" si="61"/>
        <v/>
      </c>
      <c r="CX49" s="11" t="str">
        <f t="shared" si="61"/>
        <v/>
      </c>
      <c r="CY49" s="11" t="str">
        <f t="shared" si="61"/>
        <v/>
      </c>
      <c r="CZ49" s="11" t="str">
        <f t="shared" si="61"/>
        <v/>
      </c>
      <c r="DA49" s="11" t="str">
        <f t="shared" si="61"/>
        <v/>
      </c>
      <c r="DB49" s="11" t="str">
        <f t="shared" si="61"/>
        <v/>
      </c>
      <c r="DC49" s="11" t="str">
        <f t="shared" si="62"/>
        <v/>
      </c>
      <c r="DD49" s="11" t="str">
        <f t="shared" si="62"/>
        <v/>
      </c>
      <c r="DE49" s="11" t="str">
        <f t="shared" si="62"/>
        <v/>
      </c>
      <c r="DF49" s="11" t="str">
        <f t="shared" si="62"/>
        <v/>
      </c>
      <c r="DG49" s="11" t="str">
        <f t="shared" si="62"/>
        <v/>
      </c>
      <c r="DH49" s="11" t="str">
        <f t="shared" si="62"/>
        <v/>
      </c>
      <c r="DI49" s="11" t="str">
        <f t="shared" si="62"/>
        <v/>
      </c>
      <c r="DJ49" s="11" t="str">
        <f t="shared" si="62"/>
        <v/>
      </c>
      <c r="DK49" s="11" t="str">
        <f t="shared" si="62"/>
        <v/>
      </c>
      <c r="DL49" s="11" t="str">
        <f t="shared" si="62"/>
        <v/>
      </c>
      <c r="DM49" s="11" t="str">
        <f t="shared" si="63"/>
        <v/>
      </c>
      <c r="DN49" s="11" t="str">
        <f t="shared" si="63"/>
        <v/>
      </c>
      <c r="DO49" s="11" t="str">
        <f t="shared" si="63"/>
        <v/>
      </c>
      <c r="DP49" s="11" t="str">
        <f t="shared" si="63"/>
        <v/>
      </c>
      <c r="DQ49" s="11" t="str">
        <f t="shared" si="63"/>
        <v/>
      </c>
      <c r="DR49" s="11" t="str">
        <f t="shared" si="63"/>
        <v/>
      </c>
      <c r="DS49" s="11" t="str">
        <f t="shared" si="63"/>
        <v/>
      </c>
      <c r="DT49" s="11" t="str">
        <f t="shared" si="63"/>
        <v/>
      </c>
      <c r="DU49" s="11" t="str">
        <f t="shared" si="63"/>
        <v/>
      </c>
      <c r="DV49" s="11" t="str">
        <f t="shared" si="63"/>
        <v/>
      </c>
      <c r="DW49" s="11" t="str">
        <f t="shared" si="64"/>
        <v/>
      </c>
      <c r="DX49" s="11" t="str">
        <f t="shared" si="64"/>
        <v/>
      </c>
      <c r="DY49" s="11" t="str">
        <f t="shared" si="64"/>
        <v/>
      </c>
      <c r="DZ49" s="11" t="str">
        <f t="shared" si="64"/>
        <v/>
      </c>
      <c r="EA49" s="11" t="str">
        <f t="shared" si="64"/>
        <v/>
      </c>
      <c r="EB49" s="11" t="str">
        <f t="shared" si="64"/>
        <v/>
      </c>
      <c r="EC49" s="11" t="str">
        <f t="shared" si="64"/>
        <v/>
      </c>
      <c r="ED49" s="11" t="str">
        <f t="shared" si="64"/>
        <v/>
      </c>
      <c r="EE49" s="11" t="str">
        <f t="shared" si="64"/>
        <v/>
      </c>
      <c r="EF49" s="11" t="str">
        <f t="shared" si="64"/>
        <v/>
      </c>
      <c r="EG49" s="11" t="str">
        <f t="shared" si="64"/>
        <v/>
      </c>
      <c r="EH49" s="11" t="str">
        <f t="shared" si="64"/>
        <v/>
      </c>
    </row>
    <row r="50" spans="1:138" ht="13.5" customHeight="1">
      <c r="A50" s="55"/>
      <c r="B50" s="55"/>
      <c r="C50" s="55"/>
      <c r="D50" s="12" t="s">
        <v>80</v>
      </c>
      <c r="E50" s="10"/>
      <c r="F50" s="10"/>
      <c r="G50" s="13" t="str">
        <f t="shared" si="52"/>
        <v/>
      </c>
      <c r="H50" s="13" t="str">
        <f t="shared" si="52"/>
        <v/>
      </c>
      <c r="I50" s="13" t="str">
        <f t="shared" si="52"/>
        <v/>
      </c>
      <c r="J50" s="13" t="str">
        <f t="shared" si="52"/>
        <v/>
      </c>
      <c r="K50" s="13" t="str">
        <f t="shared" si="52"/>
        <v/>
      </c>
      <c r="L50" s="13" t="str">
        <f t="shared" si="52"/>
        <v/>
      </c>
      <c r="M50" s="13" t="str">
        <f t="shared" si="52"/>
        <v/>
      </c>
      <c r="N50" s="13" t="str">
        <f t="shared" si="52"/>
        <v/>
      </c>
      <c r="O50" s="13" t="str">
        <f t="shared" si="52"/>
        <v/>
      </c>
      <c r="P50" s="13" t="str">
        <f t="shared" si="52"/>
        <v/>
      </c>
      <c r="Q50" s="13" t="str">
        <f t="shared" si="53"/>
        <v/>
      </c>
      <c r="R50" s="13" t="str">
        <f t="shared" si="53"/>
        <v/>
      </c>
      <c r="S50" s="13" t="str">
        <f t="shared" si="53"/>
        <v/>
      </c>
      <c r="T50" s="13" t="str">
        <f t="shared" si="53"/>
        <v/>
      </c>
      <c r="U50" s="13" t="str">
        <f t="shared" si="53"/>
        <v/>
      </c>
      <c r="V50" s="13" t="str">
        <f t="shared" si="53"/>
        <v/>
      </c>
      <c r="W50" s="13" t="str">
        <f t="shared" si="53"/>
        <v/>
      </c>
      <c r="X50" s="13" t="str">
        <f t="shared" si="53"/>
        <v/>
      </c>
      <c r="Y50" s="13" t="str">
        <f t="shared" si="53"/>
        <v/>
      </c>
      <c r="Z50" s="13" t="str">
        <f t="shared" si="53"/>
        <v/>
      </c>
      <c r="AA50" s="13" t="str">
        <f t="shared" si="54"/>
        <v/>
      </c>
      <c r="AB50" s="13" t="str">
        <f t="shared" si="54"/>
        <v/>
      </c>
      <c r="AC50" s="13" t="str">
        <f t="shared" si="54"/>
        <v/>
      </c>
      <c r="AD50" s="13" t="str">
        <f t="shared" si="54"/>
        <v/>
      </c>
      <c r="AE50" s="13" t="str">
        <f t="shared" si="54"/>
        <v/>
      </c>
      <c r="AF50" s="13" t="str">
        <f t="shared" si="54"/>
        <v/>
      </c>
      <c r="AG50" s="13" t="str">
        <f t="shared" si="54"/>
        <v/>
      </c>
      <c r="AH50" s="13" t="str">
        <f t="shared" si="54"/>
        <v/>
      </c>
      <c r="AI50" s="13" t="str">
        <f t="shared" si="54"/>
        <v/>
      </c>
      <c r="AJ50" s="13" t="str">
        <f t="shared" si="54"/>
        <v/>
      </c>
      <c r="AK50" s="13" t="str">
        <f t="shared" si="55"/>
        <v/>
      </c>
      <c r="AL50" s="13" t="str">
        <f t="shared" si="55"/>
        <v/>
      </c>
      <c r="AM50" s="13" t="str">
        <f t="shared" si="55"/>
        <v/>
      </c>
      <c r="AN50" s="13" t="str">
        <f t="shared" si="55"/>
        <v/>
      </c>
      <c r="AO50" s="13" t="str">
        <f t="shared" si="55"/>
        <v/>
      </c>
      <c r="AP50" s="13" t="str">
        <f t="shared" si="55"/>
        <v/>
      </c>
      <c r="AQ50" s="13" t="str">
        <f t="shared" si="55"/>
        <v/>
      </c>
      <c r="AR50" s="13" t="str">
        <f t="shared" si="55"/>
        <v/>
      </c>
      <c r="AS50" s="13" t="str">
        <f t="shared" si="55"/>
        <v/>
      </c>
      <c r="AT50" s="13" t="str">
        <f t="shared" si="55"/>
        <v/>
      </c>
      <c r="AU50" s="13" t="str">
        <f t="shared" si="56"/>
        <v/>
      </c>
      <c r="AV50" s="13" t="str">
        <f t="shared" si="56"/>
        <v/>
      </c>
      <c r="AW50" s="13" t="str">
        <f t="shared" si="56"/>
        <v/>
      </c>
      <c r="AX50" s="13" t="str">
        <f t="shared" si="56"/>
        <v/>
      </c>
      <c r="AY50" s="13" t="str">
        <f t="shared" si="56"/>
        <v/>
      </c>
      <c r="AZ50" s="13" t="str">
        <f t="shared" si="56"/>
        <v/>
      </c>
      <c r="BA50" s="13" t="str">
        <f t="shared" si="56"/>
        <v/>
      </c>
      <c r="BB50" s="13" t="str">
        <f t="shared" si="56"/>
        <v/>
      </c>
      <c r="BC50" s="13" t="str">
        <f t="shared" si="56"/>
        <v/>
      </c>
      <c r="BD50" s="13" t="str">
        <f t="shared" si="56"/>
        <v/>
      </c>
      <c r="BE50" s="13" t="str">
        <f t="shared" si="57"/>
        <v/>
      </c>
      <c r="BF50" s="13" t="str">
        <f t="shared" si="57"/>
        <v/>
      </c>
      <c r="BG50" s="13" t="str">
        <f t="shared" si="57"/>
        <v/>
      </c>
      <c r="BH50" s="13" t="str">
        <f t="shared" si="57"/>
        <v/>
      </c>
      <c r="BI50" s="13" t="str">
        <f t="shared" si="57"/>
        <v/>
      </c>
      <c r="BJ50" s="13" t="str">
        <f t="shared" si="57"/>
        <v/>
      </c>
      <c r="BK50" s="13" t="str">
        <f t="shared" si="57"/>
        <v/>
      </c>
      <c r="BL50" s="13" t="str">
        <f t="shared" si="57"/>
        <v/>
      </c>
      <c r="BM50" s="13" t="str">
        <f t="shared" si="57"/>
        <v/>
      </c>
      <c r="BN50" s="13" t="str">
        <f t="shared" si="57"/>
        <v/>
      </c>
      <c r="BO50" s="13" t="str">
        <f t="shared" si="58"/>
        <v/>
      </c>
      <c r="BP50" s="13" t="str">
        <f t="shared" si="58"/>
        <v/>
      </c>
      <c r="BQ50" s="13" t="str">
        <f t="shared" si="58"/>
        <v/>
      </c>
      <c r="BR50" s="13" t="str">
        <f t="shared" si="58"/>
        <v/>
      </c>
      <c r="BS50" s="13" t="str">
        <f t="shared" si="58"/>
        <v/>
      </c>
      <c r="BT50" s="13" t="str">
        <f t="shared" si="58"/>
        <v/>
      </c>
      <c r="BU50" s="13" t="str">
        <f t="shared" si="58"/>
        <v/>
      </c>
      <c r="BV50" s="13" t="str">
        <f t="shared" si="58"/>
        <v/>
      </c>
      <c r="BW50" s="13" t="str">
        <f t="shared" si="58"/>
        <v/>
      </c>
      <c r="BX50" s="13" t="str">
        <f t="shared" si="58"/>
        <v/>
      </c>
      <c r="BY50" s="13" t="str">
        <f t="shared" si="59"/>
        <v/>
      </c>
      <c r="BZ50" s="13" t="str">
        <f t="shared" si="59"/>
        <v/>
      </c>
      <c r="CA50" s="13" t="str">
        <f t="shared" si="59"/>
        <v/>
      </c>
      <c r="CB50" s="13" t="str">
        <f t="shared" si="59"/>
        <v/>
      </c>
      <c r="CC50" s="13" t="str">
        <f t="shared" si="59"/>
        <v/>
      </c>
      <c r="CD50" s="13" t="str">
        <f t="shared" si="59"/>
        <v/>
      </c>
      <c r="CE50" s="13" t="str">
        <f t="shared" si="59"/>
        <v/>
      </c>
      <c r="CF50" s="13" t="str">
        <f t="shared" si="59"/>
        <v/>
      </c>
      <c r="CG50" s="13" t="str">
        <f t="shared" si="59"/>
        <v/>
      </c>
      <c r="CH50" s="13" t="str">
        <f t="shared" si="59"/>
        <v/>
      </c>
      <c r="CI50" s="13" t="str">
        <f t="shared" si="60"/>
        <v/>
      </c>
      <c r="CJ50" s="13" t="str">
        <f t="shared" si="60"/>
        <v/>
      </c>
      <c r="CK50" s="13" t="str">
        <f t="shared" si="60"/>
        <v/>
      </c>
      <c r="CL50" s="13" t="str">
        <f t="shared" si="60"/>
        <v/>
      </c>
      <c r="CM50" s="13" t="str">
        <f t="shared" si="60"/>
        <v/>
      </c>
      <c r="CN50" s="13" t="str">
        <f t="shared" si="60"/>
        <v/>
      </c>
      <c r="CO50" s="13" t="str">
        <f t="shared" si="60"/>
        <v/>
      </c>
      <c r="CP50" s="13" t="str">
        <f t="shared" si="60"/>
        <v/>
      </c>
      <c r="CQ50" s="13" t="str">
        <f t="shared" si="60"/>
        <v/>
      </c>
      <c r="CR50" s="13" t="str">
        <f t="shared" si="60"/>
        <v/>
      </c>
      <c r="CS50" s="13" t="str">
        <f t="shared" si="61"/>
        <v/>
      </c>
      <c r="CT50" s="13" t="str">
        <f t="shared" si="61"/>
        <v/>
      </c>
      <c r="CU50" s="13" t="str">
        <f t="shared" si="61"/>
        <v/>
      </c>
      <c r="CV50" s="13" t="str">
        <f t="shared" si="61"/>
        <v/>
      </c>
      <c r="CW50" s="13" t="str">
        <f t="shared" si="61"/>
        <v/>
      </c>
      <c r="CX50" s="13" t="str">
        <f t="shared" si="61"/>
        <v/>
      </c>
      <c r="CY50" s="13" t="str">
        <f t="shared" si="61"/>
        <v/>
      </c>
      <c r="CZ50" s="13" t="str">
        <f t="shared" si="61"/>
        <v/>
      </c>
      <c r="DA50" s="13" t="str">
        <f t="shared" si="61"/>
        <v/>
      </c>
      <c r="DB50" s="13" t="str">
        <f t="shared" si="61"/>
        <v/>
      </c>
      <c r="DC50" s="13" t="str">
        <f t="shared" si="62"/>
        <v/>
      </c>
      <c r="DD50" s="13" t="str">
        <f t="shared" si="62"/>
        <v/>
      </c>
      <c r="DE50" s="13" t="str">
        <f t="shared" si="62"/>
        <v/>
      </c>
      <c r="DF50" s="13" t="str">
        <f t="shared" si="62"/>
        <v/>
      </c>
      <c r="DG50" s="13" t="str">
        <f t="shared" si="62"/>
        <v/>
      </c>
      <c r="DH50" s="13" t="str">
        <f t="shared" si="62"/>
        <v/>
      </c>
      <c r="DI50" s="13" t="str">
        <f t="shared" si="62"/>
        <v/>
      </c>
      <c r="DJ50" s="13" t="str">
        <f t="shared" si="62"/>
        <v/>
      </c>
      <c r="DK50" s="13" t="str">
        <f t="shared" si="62"/>
        <v/>
      </c>
      <c r="DL50" s="13" t="str">
        <f t="shared" si="62"/>
        <v/>
      </c>
      <c r="DM50" s="13" t="str">
        <f t="shared" si="63"/>
        <v/>
      </c>
      <c r="DN50" s="13" t="str">
        <f t="shared" si="63"/>
        <v/>
      </c>
      <c r="DO50" s="13" t="str">
        <f t="shared" si="63"/>
        <v/>
      </c>
      <c r="DP50" s="13" t="str">
        <f t="shared" si="63"/>
        <v/>
      </c>
      <c r="DQ50" s="13" t="str">
        <f t="shared" si="63"/>
        <v/>
      </c>
      <c r="DR50" s="13" t="str">
        <f t="shared" si="63"/>
        <v/>
      </c>
      <c r="DS50" s="13" t="str">
        <f t="shared" si="63"/>
        <v/>
      </c>
      <c r="DT50" s="13" t="str">
        <f t="shared" si="63"/>
        <v/>
      </c>
      <c r="DU50" s="13" t="str">
        <f t="shared" si="63"/>
        <v/>
      </c>
      <c r="DV50" s="13" t="str">
        <f t="shared" si="63"/>
        <v/>
      </c>
      <c r="DW50" s="13" t="str">
        <f t="shared" si="64"/>
        <v/>
      </c>
      <c r="DX50" s="13" t="str">
        <f t="shared" si="64"/>
        <v/>
      </c>
      <c r="DY50" s="13" t="str">
        <f t="shared" si="64"/>
        <v/>
      </c>
      <c r="DZ50" s="13" t="str">
        <f t="shared" si="64"/>
        <v/>
      </c>
      <c r="EA50" s="13" t="str">
        <f t="shared" si="64"/>
        <v/>
      </c>
      <c r="EB50" s="13" t="str">
        <f t="shared" si="64"/>
        <v/>
      </c>
      <c r="EC50" s="13" t="str">
        <f t="shared" si="64"/>
        <v/>
      </c>
      <c r="ED50" s="13" t="str">
        <f t="shared" si="64"/>
        <v/>
      </c>
      <c r="EE50" s="13" t="str">
        <f t="shared" si="64"/>
        <v/>
      </c>
      <c r="EF50" s="13" t="str">
        <f t="shared" si="64"/>
        <v/>
      </c>
      <c r="EG50" s="13" t="str">
        <f t="shared" si="64"/>
        <v/>
      </c>
      <c r="EH50" s="13" t="str">
        <f t="shared" si="64"/>
        <v/>
      </c>
    </row>
    <row r="51" spans="1:138" ht="13.5" customHeight="1">
      <c r="A51" s="55" t="s">
        <v>130</v>
      </c>
      <c r="B51" s="56" t="s">
        <v>131</v>
      </c>
      <c r="C51" s="57" t="s">
        <v>95</v>
      </c>
      <c r="D51" s="9" t="s">
        <v>79</v>
      </c>
      <c r="E51" s="10">
        <v>46289</v>
      </c>
      <c r="F51" s="10">
        <v>46291</v>
      </c>
      <c r="G51" s="11" t="str">
        <f t="shared" si="52"/>
        <v/>
      </c>
      <c r="H51" s="11" t="str">
        <f t="shared" si="52"/>
        <v/>
      </c>
      <c r="I51" s="11" t="str">
        <f t="shared" si="52"/>
        <v/>
      </c>
      <c r="J51" s="11" t="str">
        <f t="shared" si="52"/>
        <v/>
      </c>
      <c r="K51" s="11" t="str">
        <f t="shared" si="52"/>
        <v/>
      </c>
      <c r="L51" s="11" t="str">
        <f t="shared" si="52"/>
        <v/>
      </c>
      <c r="M51" s="11" t="str">
        <f t="shared" si="52"/>
        <v/>
      </c>
      <c r="N51" s="11" t="str">
        <f t="shared" si="52"/>
        <v/>
      </c>
      <c r="O51" s="11" t="str">
        <f t="shared" si="52"/>
        <v/>
      </c>
      <c r="P51" s="11" t="str">
        <f t="shared" si="52"/>
        <v/>
      </c>
      <c r="Q51" s="11" t="str">
        <f t="shared" si="53"/>
        <v/>
      </c>
      <c r="R51" s="11" t="str">
        <f t="shared" si="53"/>
        <v/>
      </c>
      <c r="S51" s="11" t="str">
        <f t="shared" si="53"/>
        <v/>
      </c>
      <c r="T51" s="11" t="str">
        <f t="shared" si="53"/>
        <v/>
      </c>
      <c r="U51" s="11" t="str">
        <f t="shared" si="53"/>
        <v/>
      </c>
      <c r="V51" s="11" t="str">
        <f t="shared" si="53"/>
        <v/>
      </c>
      <c r="W51" s="11" t="str">
        <f t="shared" si="53"/>
        <v/>
      </c>
      <c r="X51" s="11" t="str">
        <f t="shared" si="53"/>
        <v/>
      </c>
      <c r="Y51" s="11" t="str">
        <f t="shared" si="53"/>
        <v/>
      </c>
      <c r="Z51" s="11" t="str">
        <f t="shared" si="53"/>
        <v/>
      </c>
      <c r="AA51" s="11" t="str">
        <f t="shared" si="54"/>
        <v/>
      </c>
      <c r="AB51" s="11" t="str">
        <f t="shared" si="54"/>
        <v/>
      </c>
      <c r="AC51" s="11" t="str">
        <f t="shared" si="54"/>
        <v/>
      </c>
      <c r="AD51" s="11" t="str">
        <f t="shared" si="54"/>
        <v/>
      </c>
      <c r="AE51" s="11" t="str">
        <f t="shared" si="54"/>
        <v/>
      </c>
      <c r="AF51" s="11" t="str">
        <f t="shared" si="54"/>
        <v/>
      </c>
      <c r="AG51" s="11" t="str">
        <f t="shared" si="54"/>
        <v/>
      </c>
      <c r="AH51" s="11" t="str">
        <f t="shared" si="54"/>
        <v/>
      </c>
      <c r="AI51" s="11" t="str">
        <f t="shared" si="54"/>
        <v/>
      </c>
      <c r="AJ51" s="11" t="str">
        <f t="shared" si="54"/>
        <v/>
      </c>
      <c r="AK51" s="11" t="str">
        <f t="shared" si="55"/>
        <v/>
      </c>
      <c r="AL51" s="11" t="str">
        <f t="shared" si="55"/>
        <v/>
      </c>
      <c r="AM51" s="11" t="str">
        <f t="shared" si="55"/>
        <v/>
      </c>
      <c r="AN51" s="11" t="str">
        <f t="shared" si="55"/>
        <v/>
      </c>
      <c r="AO51" s="11" t="str">
        <f t="shared" si="55"/>
        <v/>
      </c>
      <c r="AP51" s="11" t="str">
        <f t="shared" si="55"/>
        <v/>
      </c>
      <c r="AQ51" s="11" t="str">
        <f t="shared" si="55"/>
        <v/>
      </c>
      <c r="AR51" s="11" t="str">
        <f t="shared" si="55"/>
        <v/>
      </c>
      <c r="AS51" s="11" t="str">
        <f t="shared" si="55"/>
        <v/>
      </c>
      <c r="AT51" s="11" t="str">
        <f t="shared" si="55"/>
        <v/>
      </c>
      <c r="AU51" s="11" t="str">
        <f t="shared" si="56"/>
        <v/>
      </c>
      <c r="AV51" s="11" t="str">
        <f t="shared" si="56"/>
        <v/>
      </c>
      <c r="AW51" s="11" t="str">
        <f t="shared" si="56"/>
        <v/>
      </c>
      <c r="AX51" s="11" t="str">
        <f t="shared" si="56"/>
        <v/>
      </c>
      <c r="AY51" s="11" t="str">
        <f t="shared" si="56"/>
        <v/>
      </c>
      <c r="AZ51" s="11" t="str">
        <f t="shared" si="56"/>
        <v/>
      </c>
      <c r="BA51" s="11" t="str">
        <f t="shared" si="56"/>
        <v/>
      </c>
      <c r="BB51" s="11" t="str">
        <f t="shared" si="56"/>
        <v/>
      </c>
      <c r="BC51" s="11" t="str">
        <f t="shared" si="56"/>
        <v/>
      </c>
      <c r="BD51" s="11" t="str">
        <f t="shared" si="56"/>
        <v/>
      </c>
      <c r="BE51" s="11" t="str">
        <f t="shared" si="57"/>
        <v/>
      </c>
      <c r="BF51" s="11" t="str">
        <f t="shared" si="57"/>
        <v/>
      </c>
      <c r="BG51" s="11" t="str">
        <f t="shared" si="57"/>
        <v/>
      </c>
      <c r="BH51" s="11" t="str">
        <f t="shared" si="57"/>
        <v/>
      </c>
      <c r="BI51" s="11" t="str">
        <f t="shared" si="57"/>
        <v>▪</v>
      </c>
      <c r="BJ51" s="11" t="str">
        <f t="shared" si="57"/>
        <v>▪</v>
      </c>
      <c r="BK51" s="11" t="str">
        <f t="shared" si="57"/>
        <v>▪</v>
      </c>
      <c r="BL51" s="11" t="str">
        <f t="shared" si="57"/>
        <v/>
      </c>
      <c r="BM51" s="11" t="str">
        <f t="shared" si="57"/>
        <v/>
      </c>
      <c r="BN51" s="11" t="str">
        <f t="shared" si="57"/>
        <v/>
      </c>
      <c r="BO51" s="11" t="str">
        <f t="shared" si="58"/>
        <v/>
      </c>
      <c r="BP51" s="11" t="str">
        <f t="shared" si="58"/>
        <v/>
      </c>
      <c r="BQ51" s="11" t="str">
        <f t="shared" si="58"/>
        <v/>
      </c>
      <c r="BR51" s="11" t="str">
        <f t="shared" si="58"/>
        <v/>
      </c>
      <c r="BS51" s="11" t="str">
        <f t="shared" si="58"/>
        <v/>
      </c>
      <c r="BT51" s="11" t="str">
        <f t="shared" si="58"/>
        <v/>
      </c>
      <c r="BU51" s="11" t="str">
        <f t="shared" si="58"/>
        <v/>
      </c>
      <c r="BV51" s="11" t="str">
        <f t="shared" si="58"/>
        <v/>
      </c>
      <c r="BW51" s="11" t="str">
        <f t="shared" si="58"/>
        <v/>
      </c>
      <c r="BX51" s="11" t="str">
        <f t="shared" si="58"/>
        <v/>
      </c>
      <c r="BY51" s="11" t="str">
        <f t="shared" si="59"/>
        <v/>
      </c>
      <c r="BZ51" s="11" t="str">
        <f t="shared" si="59"/>
        <v/>
      </c>
      <c r="CA51" s="11" t="str">
        <f t="shared" si="59"/>
        <v/>
      </c>
      <c r="CB51" s="11" t="str">
        <f t="shared" si="59"/>
        <v/>
      </c>
      <c r="CC51" s="11" t="str">
        <f t="shared" si="59"/>
        <v/>
      </c>
      <c r="CD51" s="11" t="str">
        <f t="shared" si="59"/>
        <v/>
      </c>
      <c r="CE51" s="11" t="str">
        <f t="shared" si="59"/>
        <v/>
      </c>
      <c r="CF51" s="11" t="str">
        <f t="shared" si="59"/>
        <v/>
      </c>
      <c r="CG51" s="11" t="str">
        <f t="shared" si="59"/>
        <v/>
      </c>
      <c r="CH51" s="11" t="str">
        <f t="shared" si="59"/>
        <v/>
      </c>
      <c r="CI51" s="11" t="str">
        <f t="shared" si="60"/>
        <v/>
      </c>
      <c r="CJ51" s="11" t="str">
        <f t="shared" si="60"/>
        <v/>
      </c>
      <c r="CK51" s="11" t="str">
        <f t="shared" si="60"/>
        <v/>
      </c>
      <c r="CL51" s="11" t="str">
        <f t="shared" si="60"/>
        <v/>
      </c>
      <c r="CM51" s="11" t="str">
        <f t="shared" si="60"/>
        <v/>
      </c>
      <c r="CN51" s="11" t="str">
        <f t="shared" si="60"/>
        <v/>
      </c>
      <c r="CO51" s="11" t="str">
        <f t="shared" si="60"/>
        <v/>
      </c>
      <c r="CP51" s="11" t="str">
        <f t="shared" si="60"/>
        <v/>
      </c>
      <c r="CQ51" s="11" t="str">
        <f t="shared" si="60"/>
        <v/>
      </c>
      <c r="CR51" s="11" t="str">
        <f t="shared" si="60"/>
        <v/>
      </c>
      <c r="CS51" s="11" t="str">
        <f t="shared" si="61"/>
        <v/>
      </c>
      <c r="CT51" s="11" t="str">
        <f t="shared" si="61"/>
        <v/>
      </c>
      <c r="CU51" s="11" t="str">
        <f t="shared" si="61"/>
        <v/>
      </c>
      <c r="CV51" s="11" t="str">
        <f t="shared" si="61"/>
        <v/>
      </c>
      <c r="CW51" s="11" t="str">
        <f t="shared" si="61"/>
        <v/>
      </c>
      <c r="CX51" s="11" t="str">
        <f t="shared" si="61"/>
        <v/>
      </c>
      <c r="CY51" s="11" t="str">
        <f t="shared" si="61"/>
        <v/>
      </c>
      <c r="CZ51" s="11" t="str">
        <f t="shared" si="61"/>
        <v/>
      </c>
      <c r="DA51" s="11" t="str">
        <f t="shared" si="61"/>
        <v/>
      </c>
      <c r="DB51" s="11" t="str">
        <f t="shared" si="61"/>
        <v/>
      </c>
      <c r="DC51" s="11" t="str">
        <f t="shared" si="62"/>
        <v/>
      </c>
      <c r="DD51" s="11" t="str">
        <f t="shared" si="62"/>
        <v/>
      </c>
      <c r="DE51" s="11" t="str">
        <f t="shared" si="62"/>
        <v/>
      </c>
      <c r="DF51" s="11" t="str">
        <f t="shared" si="62"/>
        <v/>
      </c>
      <c r="DG51" s="11" t="str">
        <f t="shared" si="62"/>
        <v/>
      </c>
      <c r="DH51" s="11" t="str">
        <f t="shared" si="62"/>
        <v/>
      </c>
      <c r="DI51" s="11" t="str">
        <f t="shared" si="62"/>
        <v/>
      </c>
      <c r="DJ51" s="11" t="str">
        <f t="shared" si="62"/>
        <v/>
      </c>
      <c r="DK51" s="11" t="str">
        <f t="shared" si="62"/>
        <v/>
      </c>
      <c r="DL51" s="11" t="str">
        <f t="shared" si="62"/>
        <v/>
      </c>
      <c r="DM51" s="11" t="str">
        <f t="shared" si="63"/>
        <v/>
      </c>
      <c r="DN51" s="11" t="str">
        <f t="shared" si="63"/>
        <v/>
      </c>
      <c r="DO51" s="11" t="str">
        <f t="shared" si="63"/>
        <v/>
      </c>
      <c r="DP51" s="11" t="str">
        <f t="shared" si="63"/>
        <v/>
      </c>
      <c r="DQ51" s="11" t="str">
        <f t="shared" si="63"/>
        <v/>
      </c>
      <c r="DR51" s="11" t="str">
        <f t="shared" si="63"/>
        <v/>
      </c>
      <c r="DS51" s="11" t="str">
        <f t="shared" si="63"/>
        <v/>
      </c>
      <c r="DT51" s="11" t="str">
        <f t="shared" si="63"/>
        <v/>
      </c>
      <c r="DU51" s="11" t="str">
        <f t="shared" si="63"/>
        <v/>
      </c>
      <c r="DV51" s="11" t="str">
        <f t="shared" si="63"/>
        <v/>
      </c>
      <c r="DW51" s="11" t="str">
        <f t="shared" si="64"/>
        <v/>
      </c>
      <c r="DX51" s="11" t="str">
        <f t="shared" si="64"/>
        <v/>
      </c>
      <c r="DY51" s="11" t="str">
        <f t="shared" si="64"/>
        <v/>
      </c>
      <c r="DZ51" s="11" t="str">
        <f t="shared" si="64"/>
        <v/>
      </c>
      <c r="EA51" s="11" t="str">
        <f t="shared" si="64"/>
        <v/>
      </c>
      <c r="EB51" s="11" t="str">
        <f t="shared" si="64"/>
        <v/>
      </c>
      <c r="EC51" s="11" t="str">
        <f t="shared" si="64"/>
        <v/>
      </c>
      <c r="ED51" s="11" t="str">
        <f t="shared" si="64"/>
        <v/>
      </c>
      <c r="EE51" s="11" t="str">
        <f t="shared" si="64"/>
        <v/>
      </c>
      <c r="EF51" s="11" t="str">
        <f t="shared" si="64"/>
        <v/>
      </c>
      <c r="EG51" s="11" t="str">
        <f t="shared" si="64"/>
        <v/>
      </c>
      <c r="EH51" s="11" t="str">
        <f t="shared" si="64"/>
        <v/>
      </c>
    </row>
    <row r="52" spans="1:138" ht="13.5" customHeight="1">
      <c r="A52" s="55"/>
      <c r="B52" s="55"/>
      <c r="C52" s="55"/>
      <c r="D52" s="12" t="s">
        <v>80</v>
      </c>
      <c r="E52" s="10">
        <v>46281</v>
      </c>
      <c r="F52" s="10">
        <v>46283</v>
      </c>
      <c r="G52" s="13" t="str">
        <f t="shared" si="52"/>
        <v/>
      </c>
      <c r="H52" s="13" t="str">
        <f t="shared" si="52"/>
        <v/>
      </c>
      <c r="I52" s="13" t="str">
        <f t="shared" si="52"/>
        <v/>
      </c>
      <c r="J52" s="13" t="str">
        <f t="shared" si="52"/>
        <v/>
      </c>
      <c r="K52" s="13" t="str">
        <f>IF(AND($E52&lt;&gt;"",$F52&lt;&gt;"",$E52&lt;=K$3,$F52&gt;=K$3),"▪","")</f>
        <v/>
      </c>
      <c r="L52" s="13" t="str">
        <f t="shared" si="52"/>
        <v/>
      </c>
      <c r="M52" s="13" t="str">
        <f t="shared" si="52"/>
        <v/>
      </c>
      <c r="N52" s="13" t="str">
        <f t="shared" si="52"/>
        <v/>
      </c>
      <c r="O52" s="13" t="str">
        <f t="shared" si="52"/>
        <v/>
      </c>
      <c r="P52" s="13" t="str">
        <f t="shared" si="52"/>
        <v/>
      </c>
      <c r="Q52" s="13" t="str">
        <f t="shared" si="53"/>
        <v/>
      </c>
      <c r="R52" s="13" t="str">
        <f t="shared" si="53"/>
        <v/>
      </c>
      <c r="S52" s="13" t="str">
        <f t="shared" si="53"/>
        <v/>
      </c>
      <c r="T52" s="13" t="str">
        <f t="shared" si="53"/>
        <v/>
      </c>
      <c r="U52" s="13" t="str">
        <f t="shared" si="53"/>
        <v/>
      </c>
      <c r="V52" s="13" t="str">
        <f t="shared" si="53"/>
        <v/>
      </c>
      <c r="W52" s="13" t="str">
        <f t="shared" si="53"/>
        <v/>
      </c>
      <c r="X52" s="13" t="str">
        <f t="shared" si="53"/>
        <v/>
      </c>
      <c r="Y52" s="13" t="str">
        <f t="shared" si="53"/>
        <v/>
      </c>
      <c r="Z52" s="13" t="str">
        <f t="shared" si="53"/>
        <v/>
      </c>
      <c r="AA52" s="13" t="str">
        <f t="shared" si="54"/>
        <v/>
      </c>
      <c r="AB52" s="13" t="str">
        <f t="shared" si="54"/>
        <v/>
      </c>
      <c r="AC52" s="13" t="str">
        <f t="shared" si="54"/>
        <v/>
      </c>
      <c r="AD52" s="13" t="str">
        <f t="shared" si="54"/>
        <v/>
      </c>
      <c r="AE52" s="13" t="str">
        <f t="shared" si="54"/>
        <v/>
      </c>
      <c r="AF52" s="13" t="str">
        <f t="shared" si="54"/>
        <v/>
      </c>
      <c r="AG52" s="13" t="str">
        <f t="shared" si="54"/>
        <v/>
      </c>
      <c r="AH52" s="13" t="str">
        <f t="shared" si="54"/>
        <v/>
      </c>
      <c r="AI52" s="13" t="str">
        <f t="shared" si="54"/>
        <v/>
      </c>
      <c r="AJ52" s="13" t="str">
        <f t="shared" si="54"/>
        <v/>
      </c>
      <c r="AK52" s="13" t="str">
        <f t="shared" si="55"/>
        <v/>
      </c>
      <c r="AL52" s="13" t="str">
        <f t="shared" si="55"/>
        <v/>
      </c>
      <c r="AM52" s="13" t="str">
        <f t="shared" si="55"/>
        <v/>
      </c>
      <c r="AN52" s="13" t="str">
        <f t="shared" si="55"/>
        <v/>
      </c>
      <c r="AO52" s="13" t="str">
        <f t="shared" si="55"/>
        <v/>
      </c>
      <c r="AP52" s="13" t="str">
        <f t="shared" si="55"/>
        <v/>
      </c>
      <c r="AQ52" s="13" t="str">
        <f t="shared" si="55"/>
        <v/>
      </c>
      <c r="AR52" s="13" t="str">
        <f t="shared" si="55"/>
        <v/>
      </c>
      <c r="AS52" s="13" t="str">
        <f t="shared" si="55"/>
        <v/>
      </c>
      <c r="AT52" s="13" t="str">
        <f t="shared" si="55"/>
        <v/>
      </c>
      <c r="AU52" s="13" t="str">
        <f t="shared" si="56"/>
        <v/>
      </c>
      <c r="AV52" s="13" t="str">
        <f t="shared" si="56"/>
        <v/>
      </c>
      <c r="AW52" s="13" t="str">
        <f t="shared" si="56"/>
        <v/>
      </c>
      <c r="AX52" s="13" t="str">
        <f t="shared" si="56"/>
        <v/>
      </c>
      <c r="AY52" s="13" t="str">
        <f t="shared" si="56"/>
        <v/>
      </c>
      <c r="AZ52" s="13" t="str">
        <f t="shared" si="56"/>
        <v/>
      </c>
      <c r="BA52" s="13" t="str">
        <f t="shared" si="56"/>
        <v>▪</v>
      </c>
      <c r="BB52" s="13" t="str">
        <f t="shared" si="56"/>
        <v>▪</v>
      </c>
      <c r="BC52" s="13" t="str">
        <f t="shared" si="56"/>
        <v>▪</v>
      </c>
      <c r="BD52" s="13" t="str">
        <f t="shared" si="56"/>
        <v/>
      </c>
      <c r="BE52" s="13" t="str">
        <f t="shared" si="57"/>
        <v/>
      </c>
      <c r="BF52" s="13" t="str">
        <f t="shared" si="57"/>
        <v/>
      </c>
      <c r="BG52" s="13" t="str">
        <f t="shared" si="57"/>
        <v/>
      </c>
      <c r="BH52" s="13" t="str">
        <f t="shared" si="57"/>
        <v/>
      </c>
      <c r="BI52" s="13" t="str">
        <f t="shared" si="57"/>
        <v/>
      </c>
      <c r="BJ52" s="13" t="str">
        <f t="shared" si="57"/>
        <v/>
      </c>
      <c r="BK52" s="13" t="str">
        <f t="shared" si="57"/>
        <v/>
      </c>
      <c r="BL52" s="13" t="str">
        <f t="shared" si="57"/>
        <v/>
      </c>
      <c r="BM52" s="13" t="str">
        <f t="shared" si="57"/>
        <v/>
      </c>
      <c r="BN52" s="13" t="str">
        <f t="shared" si="57"/>
        <v/>
      </c>
      <c r="BO52" s="13" t="str">
        <f t="shared" si="58"/>
        <v/>
      </c>
      <c r="BP52" s="13" t="str">
        <f t="shared" si="58"/>
        <v/>
      </c>
      <c r="BQ52" s="13" t="str">
        <f t="shared" si="58"/>
        <v/>
      </c>
      <c r="BR52" s="13" t="str">
        <f t="shared" si="58"/>
        <v/>
      </c>
      <c r="BS52" s="13" t="str">
        <f t="shared" si="58"/>
        <v/>
      </c>
      <c r="BT52" s="13" t="str">
        <f t="shared" si="58"/>
        <v/>
      </c>
      <c r="BU52" s="13" t="str">
        <f t="shared" si="58"/>
        <v/>
      </c>
      <c r="BV52" s="13" t="str">
        <f t="shared" si="58"/>
        <v/>
      </c>
      <c r="BW52" s="13" t="str">
        <f t="shared" si="58"/>
        <v/>
      </c>
      <c r="BX52" s="13" t="str">
        <f t="shared" si="58"/>
        <v/>
      </c>
      <c r="BY52" s="13" t="str">
        <f t="shared" si="59"/>
        <v/>
      </c>
      <c r="BZ52" s="13" t="str">
        <f t="shared" si="59"/>
        <v/>
      </c>
      <c r="CA52" s="13" t="str">
        <f t="shared" si="59"/>
        <v/>
      </c>
      <c r="CB52" s="13" t="str">
        <f t="shared" si="59"/>
        <v/>
      </c>
      <c r="CC52" s="13" t="str">
        <f t="shared" si="59"/>
        <v/>
      </c>
      <c r="CD52" s="13" t="str">
        <f t="shared" si="59"/>
        <v/>
      </c>
      <c r="CE52" s="13" t="str">
        <f t="shared" si="59"/>
        <v/>
      </c>
      <c r="CF52" s="13" t="str">
        <f t="shared" si="59"/>
        <v/>
      </c>
      <c r="CG52" s="13" t="str">
        <f t="shared" si="59"/>
        <v/>
      </c>
      <c r="CH52" s="13" t="str">
        <f t="shared" si="59"/>
        <v/>
      </c>
      <c r="CI52" s="13" t="str">
        <f t="shared" si="60"/>
        <v/>
      </c>
      <c r="CJ52" s="13" t="str">
        <f t="shared" si="60"/>
        <v/>
      </c>
      <c r="CK52" s="13" t="str">
        <f t="shared" si="60"/>
        <v/>
      </c>
      <c r="CL52" s="13" t="str">
        <f t="shared" si="60"/>
        <v/>
      </c>
      <c r="CM52" s="13" t="str">
        <f t="shared" si="60"/>
        <v/>
      </c>
      <c r="CN52" s="13" t="str">
        <f t="shared" si="60"/>
        <v/>
      </c>
      <c r="CO52" s="13" t="str">
        <f t="shared" si="60"/>
        <v/>
      </c>
      <c r="CP52" s="13" t="str">
        <f t="shared" si="60"/>
        <v/>
      </c>
      <c r="CQ52" s="13" t="str">
        <f t="shared" si="60"/>
        <v/>
      </c>
      <c r="CR52" s="13" t="str">
        <f t="shared" si="60"/>
        <v/>
      </c>
      <c r="CS52" s="13" t="str">
        <f t="shared" si="61"/>
        <v/>
      </c>
      <c r="CT52" s="13" t="str">
        <f t="shared" si="61"/>
        <v/>
      </c>
      <c r="CU52" s="13" t="str">
        <f t="shared" si="61"/>
        <v/>
      </c>
      <c r="CV52" s="13" t="str">
        <f t="shared" si="61"/>
        <v/>
      </c>
      <c r="CW52" s="13" t="str">
        <f t="shared" si="61"/>
        <v/>
      </c>
      <c r="CX52" s="13" t="str">
        <f t="shared" si="61"/>
        <v/>
      </c>
      <c r="CY52" s="13" t="str">
        <f t="shared" si="61"/>
        <v/>
      </c>
      <c r="CZ52" s="13" t="str">
        <f t="shared" si="61"/>
        <v/>
      </c>
      <c r="DA52" s="13" t="str">
        <f t="shared" si="61"/>
        <v/>
      </c>
      <c r="DB52" s="13" t="str">
        <f t="shared" si="61"/>
        <v/>
      </c>
      <c r="DC52" s="13" t="str">
        <f t="shared" si="62"/>
        <v/>
      </c>
      <c r="DD52" s="13" t="str">
        <f t="shared" si="62"/>
        <v/>
      </c>
      <c r="DE52" s="13" t="str">
        <f t="shared" si="62"/>
        <v/>
      </c>
      <c r="DF52" s="13" t="str">
        <f t="shared" si="62"/>
        <v/>
      </c>
      <c r="DG52" s="13" t="str">
        <f t="shared" si="62"/>
        <v/>
      </c>
      <c r="DH52" s="13" t="str">
        <f t="shared" si="62"/>
        <v/>
      </c>
      <c r="DI52" s="13" t="str">
        <f t="shared" si="62"/>
        <v/>
      </c>
      <c r="DJ52" s="13" t="str">
        <f t="shared" si="62"/>
        <v/>
      </c>
      <c r="DK52" s="13" t="str">
        <f t="shared" si="62"/>
        <v/>
      </c>
      <c r="DL52" s="13" t="str">
        <f t="shared" si="62"/>
        <v/>
      </c>
      <c r="DM52" s="13" t="str">
        <f t="shared" si="63"/>
        <v/>
      </c>
      <c r="DN52" s="13" t="str">
        <f t="shared" si="63"/>
        <v/>
      </c>
      <c r="DO52" s="13" t="str">
        <f t="shared" si="63"/>
        <v/>
      </c>
      <c r="DP52" s="13" t="str">
        <f t="shared" si="63"/>
        <v/>
      </c>
      <c r="DQ52" s="13" t="str">
        <f t="shared" si="63"/>
        <v/>
      </c>
      <c r="DR52" s="13" t="str">
        <f t="shared" si="63"/>
        <v/>
      </c>
      <c r="DS52" s="13" t="str">
        <f t="shared" si="63"/>
        <v/>
      </c>
      <c r="DT52" s="13" t="str">
        <f t="shared" si="63"/>
        <v/>
      </c>
      <c r="DU52" s="13" t="str">
        <f t="shared" si="63"/>
        <v/>
      </c>
      <c r="DV52" s="13" t="str">
        <f t="shared" si="63"/>
        <v/>
      </c>
      <c r="DW52" s="13" t="str">
        <f t="shared" si="64"/>
        <v/>
      </c>
      <c r="DX52" s="13" t="str">
        <f t="shared" si="64"/>
        <v/>
      </c>
      <c r="DY52" s="13" t="str">
        <f t="shared" si="64"/>
        <v/>
      </c>
      <c r="DZ52" s="13" t="str">
        <f t="shared" si="64"/>
        <v/>
      </c>
      <c r="EA52" s="13" t="str">
        <f t="shared" si="64"/>
        <v/>
      </c>
      <c r="EB52" s="13" t="str">
        <f t="shared" si="64"/>
        <v/>
      </c>
      <c r="EC52" s="13" t="str">
        <f t="shared" si="64"/>
        <v/>
      </c>
      <c r="ED52" s="13" t="str">
        <f t="shared" si="64"/>
        <v/>
      </c>
      <c r="EE52" s="13" t="str">
        <f t="shared" si="64"/>
        <v/>
      </c>
      <c r="EF52" s="13" t="str">
        <f t="shared" si="64"/>
        <v/>
      </c>
      <c r="EG52" s="13" t="str">
        <f t="shared" si="64"/>
        <v/>
      </c>
      <c r="EH52" s="13" t="str">
        <f t="shared" si="64"/>
        <v/>
      </c>
    </row>
    <row r="53" spans="1:138" ht="13.5" customHeight="1">
      <c r="A53" s="55" t="s">
        <v>132</v>
      </c>
      <c r="B53" s="56" t="s">
        <v>133</v>
      </c>
      <c r="C53" s="57" t="s">
        <v>95</v>
      </c>
      <c r="D53" s="9" t="s">
        <v>79</v>
      </c>
      <c r="E53" s="10">
        <v>46294</v>
      </c>
      <c r="F53" s="10">
        <v>46295</v>
      </c>
      <c r="G53" s="11" t="str">
        <f t="shared" si="52"/>
        <v/>
      </c>
      <c r="H53" s="11" t="str">
        <f t="shared" si="52"/>
        <v/>
      </c>
      <c r="I53" s="11" t="str">
        <f t="shared" si="52"/>
        <v/>
      </c>
      <c r="J53" s="11" t="str">
        <f t="shared" si="52"/>
        <v/>
      </c>
      <c r="K53" s="11" t="str">
        <f t="shared" si="52"/>
        <v/>
      </c>
      <c r="L53" s="11" t="str">
        <f t="shared" si="52"/>
        <v/>
      </c>
      <c r="M53" s="11" t="str">
        <f t="shared" si="52"/>
        <v/>
      </c>
      <c r="N53" s="11" t="str">
        <f t="shared" si="52"/>
        <v/>
      </c>
      <c r="O53" s="11" t="str">
        <f t="shared" si="52"/>
        <v/>
      </c>
      <c r="P53" s="11" t="str">
        <f t="shared" si="52"/>
        <v/>
      </c>
      <c r="Q53" s="11" t="str">
        <f t="shared" si="53"/>
        <v/>
      </c>
      <c r="R53" s="11" t="str">
        <f t="shared" si="53"/>
        <v/>
      </c>
      <c r="S53" s="11" t="str">
        <f t="shared" si="53"/>
        <v/>
      </c>
      <c r="T53" s="11" t="str">
        <f t="shared" si="53"/>
        <v/>
      </c>
      <c r="U53" s="11" t="str">
        <f t="shared" si="53"/>
        <v/>
      </c>
      <c r="V53" s="11" t="str">
        <f t="shared" si="53"/>
        <v/>
      </c>
      <c r="W53" s="11" t="str">
        <f t="shared" si="53"/>
        <v/>
      </c>
      <c r="X53" s="11" t="str">
        <f t="shared" si="53"/>
        <v/>
      </c>
      <c r="Y53" s="11" t="str">
        <f t="shared" si="53"/>
        <v/>
      </c>
      <c r="Z53" s="11" t="str">
        <f t="shared" si="53"/>
        <v/>
      </c>
      <c r="AA53" s="11" t="str">
        <f t="shared" si="54"/>
        <v/>
      </c>
      <c r="AB53" s="11" t="str">
        <f t="shared" si="54"/>
        <v/>
      </c>
      <c r="AC53" s="11" t="str">
        <f t="shared" si="54"/>
        <v/>
      </c>
      <c r="AD53" s="11" t="str">
        <f t="shared" si="54"/>
        <v/>
      </c>
      <c r="AE53" s="11" t="str">
        <f t="shared" si="54"/>
        <v/>
      </c>
      <c r="AF53" s="11" t="str">
        <f t="shared" si="54"/>
        <v/>
      </c>
      <c r="AG53" s="11" t="str">
        <f t="shared" si="54"/>
        <v/>
      </c>
      <c r="AH53" s="11" t="str">
        <f t="shared" si="54"/>
        <v/>
      </c>
      <c r="AI53" s="11" t="str">
        <f t="shared" si="54"/>
        <v/>
      </c>
      <c r="AJ53" s="11" t="str">
        <f t="shared" si="54"/>
        <v/>
      </c>
      <c r="AK53" s="11" t="str">
        <f t="shared" si="55"/>
        <v/>
      </c>
      <c r="AL53" s="11" t="str">
        <f t="shared" si="55"/>
        <v/>
      </c>
      <c r="AM53" s="11" t="str">
        <f t="shared" si="55"/>
        <v/>
      </c>
      <c r="AN53" s="11" t="str">
        <f t="shared" si="55"/>
        <v/>
      </c>
      <c r="AO53" s="11" t="str">
        <f t="shared" si="55"/>
        <v/>
      </c>
      <c r="AP53" s="11" t="str">
        <f t="shared" si="55"/>
        <v/>
      </c>
      <c r="AQ53" s="11" t="str">
        <f t="shared" si="55"/>
        <v/>
      </c>
      <c r="AR53" s="11" t="str">
        <f t="shared" si="55"/>
        <v/>
      </c>
      <c r="AS53" s="11" t="str">
        <f t="shared" si="55"/>
        <v/>
      </c>
      <c r="AT53" s="11" t="str">
        <f t="shared" si="55"/>
        <v/>
      </c>
      <c r="AU53" s="11" t="str">
        <f t="shared" si="56"/>
        <v/>
      </c>
      <c r="AV53" s="11" t="str">
        <f t="shared" si="56"/>
        <v/>
      </c>
      <c r="AW53" s="11" t="str">
        <f t="shared" si="56"/>
        <v/>
      </c>
      <c r="AX53" s="11" t="str">
        <f t="shared" si="56"/>
        <v/>
      </c>
      <c r="AY53" s="11" t="str">
        <f t="shared" si="56"/>
        <v/>
      </c>
      <c r="AZ53" s="11" t="str">
        <f t="shared" si="56"/>
        <v/>
      </c>
      <c r="BA53" s="11" t="str">
        <f t="shared" si="56"/>
        <v/>
      </c>
      <c r="BB53" s="11" t="str">
        <f t="shared" si="56"/>
        <v/>
      </c>
      <c r="BC53" s="11" t="str">
        <f t="shared" si="56"/>
        <v/>
      </c>
      <c r="BD53" s="11" t="str">
        <f t="shared" si="56"/>
        <v/>
      </c>
      <c r="BE53" s="11" t="str">
        <f t="shared" si="57"/>
        <v/>
      </c>
      <c r="BF53" s="11" t="str">
        <f t="shared" si="57"/>
        <v/>
      </c>
      <c r="BG53" s="11" t="str">
        <f t="shared" si="57"/>
        <v/>
      </c>
      <c r="BH53" s="11" t="str">
        <f t="shared" si="57"/>
        <v/>
      </c>
      <c r="BI53" s="11" t="str">
        <f t="shared" si="57"/>
        <v/>
      </c>
      <c r="BJ53" s="11" t="str">
        <f t="shared" si="57"/>
        <v/>
      </c>
      <c r="BK53" s="11" t="str">
        <f t="shared" si="57"/>
        <v/>
      </c>
      <c r="BL53" s="11" t="str">
        <f t="shared" si="57"/>
        <v/>
      </c>
      <c r="BM53" s="11" t="str">
        <f t="shared" si="57"/>
        <v/>
      </c>
      <c r="BN53" s="11" t="str">
        <f t="shared" si="57"/>
        <v>▪</v>
      </c>
      <c r="BO53" s="11" t="str">
        <f t="shared" si="58"/>
        <v>▪</v>
      </c>
      <c r="BP53" s="11" t="str">
        <f t="shared" si="58"/>
        <v/>
      </c>
      <c r="BQ53" s="11" t="str">
        <f t="shared" si="58"/>
        <v/>
      </c>
      <c r="BR53" s="11" t="str">
        <f t="shared" si="58"/>
        <v/>
      </c>
      <c r="BS53" s="11" t="str">
        <f t="shared" si="58"/>
        <v/>
      </c>
      <c r="BT53" s="11" t="str">
        <f t="shared" si="58"/>
        <v/>
      </c>
      <c r="BU53" s="11" t="str">
        <f t="shared" si="58"/>
        <v/>
      </c>
      <c r="BV53" s="11" t="str">
        <f t="shared" si="58"/>
        <v/>
      </c>
      <c r="BW53" s="11" t="str">
        <f t="shared" si="58"/>
        <v/>
      </c>
      <c r="BX53" s="11" t="str">
        <f t="shared" si="58"/>
        <v/>
      </c>
      <c r="BY53" s="11" t="str">
        <f t="shared" si="59"/>
        <v/>
      </c>
      <c r="BZ53" s="11" t="str">
        <f t="shared" si="59"/>
        <v/>
      </c>
      <c r="CA53" s="11" t="str">
        <f t="shared" si="59"/>
        <v/>
      </c>
      <c r="CB53" s="11" t="str">
        <f t="shared" si="59"/>
        <v/>
      </c>
      <c r="CC53" s="11" t="str">
        <f t="shared" si="59"/>
        <v/>
      </c>
      <c r="CD53" s="11" t="str">
        <f t="shared" si="59"/>
        <v/>
      </c>
      <c r="CE53" s="11" t="str">
        <f t="shared" si="59"/>
        <v/>
      </c>
      <c r="CF53" s="11" t="str">
        <f t="shared" si="59"/>
        <v/>
      </c>
      <c r="CG53" s="11" t="str">
        <f t="shared" si="59"/>
        <v/>
      </c>
      <c r="CH53" s="11" t="str">
        <f t="shared" si="59"/>
        <v/>
      </c>
      <c r="CI53" s="11" t="str">
        <f t="shared" si="60"/>
        <v/>
      </c>
      <c r="CJ53" s="11" t="str">
        <f t="shared" si="60"/>
        <v/>
      </c>
      <c r="CK53" s="11" t="str">
        <f t="shared" si="60"/>
        <v/>
      </c>
      <c r="CL53" s="11" t="str">
        <f t="shared" si="60"/>
        <v/>
      </c>
      <c r="CM53" s="11" t="str">
        <f t="shared" si="60"/>
        <v/>
      </c>
      <c r="CN53" s="11" t="str">
        <f t="shared" si="60"/>
        <v/>
      </c>
      <c r="CO53" s="11" t="str">
        <f t="shared" si="60"/>
        <v/>
      </c>
      <c r="CP53" s="11" t="str">
        <f t="shared" si="60"/>
        <v/>
      </c>
      <c r="CQ53" s="11" t="str">
        <f t="shared" si="60"/>
        <v/>
      </c>
      <c r="CR53" s="11" t="str">
        <f t="shared" si="60"/>
        <v/>
      </c>
      <c r="CS53" s="11" t="str">
        <f t="shared" si="61"/>
        <v/>
      </c>
      <c r="CT53" s="11" t="str">
        <f t="shared" si="61"/>
        <v/>
      </c>
      <c r="CU53" s="11" t="str">
        <f t="shared" si="61"/>
        <v/>
      </c>
      <c r="CV53" s="11" t="str">
        <f t="shared" si="61"/>
        <v/>
      </c>
      <c r="CW53" s="11" t="str">
        <f t="shared" si="61"/>
        <v/>
      </c>
      <c r="CX53" s="11" t="str">
        <f t="shared" si="61"/>
        <v/>
      </c>
      <c r="CY53" s="11" t="str">
        <f t="shared" si="61"/>
        <v/>
      </c>
      <c r="CZ53" s="11" t="str">
        <f t="shared" si="61"/>
        <v/>
      </c>
      <c r="DA53" s="11" t="str">
        <f t="shared" si="61"/>
        <v/>
      </c>
      <c r="DB53" s="11" t="str">
        <f t="shared" si="61"/>
        <v/>
      </c>
      <c r="DC53" s="11" t="str">
        <f t="shared" si="62"/>
        <v/>
      </c>
      <c r="DD53" s="11" t="str">
        <f t="shared" si="62"/>
        <v/>
      </c>
      <c r="DE53" s="11" t="str">
        <f t="shared" si="62"/>
        <v/>
      </c>
      <c r="DF53" s="11" t="str">
        <f t="shared" si="62"/>
        <v/>
      </c>
      <c r="DG53" s="11" t="str">
        <f t="shared" si="62"/>
        <v/>
      </c>
      <c r="DH53" s="11" t="str">
        <f t="shared" si="62"/>
        <v/>
      </c>
      <c r="DI53" s="11" t="str">
        <f t="shared" si="62"/>
        <v/>
      </c>
      <c r="DJ53" s="11" t="str">
        <f t="shared" si="62"/>
        <v/>
      </c>
      <c r="DK53" s="11" t="str">
        <f t="shared" si="62"/>
        <v/>
      </c>
      <c r="DL53" s="11" t="str">
        <f t="shared" si="62"/>
        <v/>
      </c>
      <c r="DM53" s="11" t="str">
        <f t="shared" si="63"/>
        <v/>
      </c>
      <c r="DN53" s="11" t="str">
        <f t="shared" si="63"/>
        <v/>
      </c>
      <c r="DO53" s="11" t="str">
        <f t="shared" si="63"/>
        <v/>
      </c>
      <c r="DP53" s="11" t="str">
        <f t="shared" si="63"/>
        <v/>
      </c>
      <c r="DQ53" s="11" t="str">
        <f t="shared" si="63"/>
        <v/>
      </c>
      <c r="DR53" s="11" t="str">
        <f t="shared" si="63"/>
        <v/>
      </c>
      <c r="DS53" s="11" t="str">
        <f t="shared" si="63"/>
        <v/>
      </c>
      <c r="DT53" s="11" t="str">
        <f t="shared" si="63"/>
        <v/>
      </c>
      <c r="DU53" s="11" t="str">
        <f t="shared" si="63"/>
        <v/>
      </c>
      <c r="DV53" s="11" t="str">
        <f t="shared" si="63"/>
        <v/>
      </c>
      <c r="DW53" s="11" t="str">
        <f t="shared" si="64"/>
        <v/>
      </c>
      <c r="DX53" s="11" t="str">
        <f t="shared" si="64"/>
        <v/>
      </c>
      <c r="DY53" s="11" t="str">
        <f t="shared" si="64"/>
        <v/>
      </c>
      <c r="DZ53" s="11" t="str">
        <f t="shared" si="64"/>
        <v/>
      </c>
      <c r="EA53" s="11" t="str">
        <f t="shared" si="64"/>
        <v/>
      </c>
      <c r="EB53" s="11" t="str">
        <f t="shared" si="64"/>
        <v/>
      </c>
      <c r="EC53" s="11" t="str">
        <f t="shared" si="64"/>
        <v/>
      </c>
      <c r="ED53" s="11" t="str">
        <f t="shared" si="64"/>
        <v/>
      </c>
      <c r="EE53" s="11" t="str">
        <f t="shared" si="64"/>
        <v/>
      </c>
      <c r="EF53" s="11" t="str">
        <f t="shared" si="64"/>
        <v/>
      </c>
      <c r="EG53" s="11" t="str">
        <f t="shared" si="64"/>
        <v/>
      </c>
      <c r="EH53" s="11" t="str">
        <f t="shared" si="64"/>
        <v/>
      </c>
    </row>
    <row r="54" spans="1:138" ht="13.5" customHeight="1">
      <c r="A54" s="55"/>
      <c r="B54" s="55"/>
      <c r="C54" s="55"/>
      <c r="D54" s="12" t="s">
        <v>80</v>
      </c>
      <c r="E54" s="10">
        <v>46281</v>
      </c>
      <c r="F54" s="10">
        <v>46284</v>
      </c>
      <c r="G54" s="13" t="str">
        <f t="shared" si="52"/>
        <v/>
      </c>
      <c r="H54" s="13" t="str">
        <f t="shared" si="52"/>
        <v/>
      </c>
      <c r="I54" s="13" t="str">
        <f t="shared" si="52"/>
        <v/>
      </c>
      <c r="J54" s="13" t="str">
        <f t="shared" si="52"/>
        <v/>
      </c>
      <c r="K54" s="13" t="str">
        <f t="shared" si="52"/>
        <v/>
      </c>
      <c r="L54" s="13" t="str">
        <f t="shared" si="52"/>
        <v/>
      </c>
      <c r="M54" s="13" t="str">
        <f t="shared" si="52"/>
        <v/>
      </c>
      <c r="N54" s="13" t="str">
        <f t="shared" si="52"/>
        <v/>
      </c>
      <c r="O54" s="13" t="str">
        <f t="shared" si="52"/>
        <v/>
      </c>
      <c r="P54" s="13" t="str">
        <f t="shared" si="52"/>
        <v/>
      </c>
      <c r="Q54" s="13" t="str">
        <f t="shared" si="53"/>
        <v/>
      </c>
      <c r="R54" s="13" t="str">
        <f t="shared" si="53"/>
        <v/>
      </c>
      <c r="S54" s="13" t="str">
        <f t="shared" si="53"/>
        <v/>
      </c>
      <c r="T54" s="13" t="str">
        <f t="shared" si="53"/>
        <v/>
      </c>
      <c r="U54" s="13" t="str">
        <f t="shared" si="53"/>
        <v/>
      </c>
      <c r="V54" s="13" t="str">
        <f t="shared" si="53"/>
        <v/>
      </c>
      <c r="W54" s="13" t="str">
        <f t="shared" si="53"/>
        <v/>
      </c>
      <c r="X54" s="13" t="str">
        <f t="shared" si="53"/>
        <v/>
      </c>
      <c r="Y54" s="13" t="str">
        <f t="shared" si="53"/>
        <v/>
      </c>
      <c r="Z54" s="13" t="str">
        <f t="shared" si="53"/>
        <v/>
      </c>
      <c r="AA54" s="13" t="str">
        <f t="shared" si="54"/>
        <v/>
      </c>
      <c r="AB54" s="13" t="str">
        <f t="shared" si="54"/>
        <v/>
      </c>
      <c r="AC54" s="13" t="str">
        <f t="shared" si="54"/>
        <v/>
      </c>
      <c r="AD54" s="13" t="str">
        <f t="shared" si="54"/>
        <v/>
      </c>
      <c r="AE54" s="13" t="str">
        <f t="shared" si="54"/>
        <v/>
      </c>
      <c r="AF54" s="13" t="str">
        <f t="shared" si="54"/>
        <v/>
      </c>
      <c r="AG54" s="13" t="str">
        <f t="shared" si="54"/>
        <v/>
      </c>
      <c r="AH54" s="13" t="str">
        <f t="shared" si="54"/>
        <v/>
      </c>
      <c r="AI54" s="13" t="str">
        <f t="shared" si="54"/>
        <v/>
      </c>
      <c r="AJ54" s="13" t="str">
        <f t="shared" si="54"/>
        <v/>
      </c>
      <c r="AK54" s="13" t="str">
        <f t="shared" si="55"/>
        <v/>
      </c>
      <c r="AL54" s="13" t="str">
        <f t="shared" si="55"/>
        <v/>
      </c>
      <c r="AM54" s="13" t="str">
        <f t="shared" si="55"/>
        <v/>
      </c>
      <c r="AN54" s="13" t="str">
        <f t="shared" si="55"/>
        <v/>
      </c>
      <c r="AO54" s="13" t="str">
        <f t="shared" si="55"/>
        <v/>
      </c>
      <c r="AP54" s="13" t="str">
        <f t="shared" si="55"/>
        <v/>
      </c>
      <c r="AQ54" s="13" t="str">
        <f t="shared" si="55"/>
        <v/>
      </c>
      <c r="AR54" s="13" t="str">
        <f t="shared" si="55"/>
        <v/>
      </c>
      <c r="AS54" s="13" t="str">
        <f t="shared" si="55"/>
        <v/>
      </c>
      <c r="AT54" s="13" t="str">
        <f t="shared" si="55"/>
        <v/>
      </c>
      <c r="AU54" s="13" t="str">
        <f t="shared" si="56"/>
        <v/>
      </c>
      <c r="AV54" s="13" t="str">
        <f t="shared" si="56"/>
        <v/>
      </c>
      <c r="AW54" s="13" t="str">
        <f t="shared" si="56"/>
        <v/>
      </c>
      <c r="AX54" s="13" t="str">
        <f t="shared" si="56"/>
        <v/>
      </c>
      <c r="AY54" s="13" t="str">
        <f t="shared" si="56"/>
        <v/>
      </c>
      <c r="AZ54" s="13" t="str">
        <f t="shared" si="56"/>
        <v/>
      </c>
      <c r="BA54" s="13" t="str">
        <f t="shared" si="56"/>
        <v>▪</v>
      </c>
      <c r="BB54" s="13" t="str">
        <f t="shared" si="56"/>
        <v>▪</v>
      </c>
      <c r="BC54" s="13" t="str">
        <f t="shared" si="56"/>
        <v>▪</v>
      </c>
      <c r="BD54" s="13" t="str">
        <f t="shared" si="56"/>
        <v>▪</v>
      </c>
      <c r="BE54" s="13" t="str">
        <f t="shared" si="57"/>
        <v/>
      </c>
      <c r="BF54" s="13" t="str">
        <f t="shared" si="57"/>
        <v/>
      </c>
      <c r="BG54" s="13" t="str">
        <f t="shared" si="57"/>
        <v/>
      </c>
      <c r="BH54" s="13" t="str">
        <f t="shared" si="57"/>
        <v/>
      </c>
      <c r="BI54" s="13" t="str">
        <f t="shared" si="57"/>
        <v/>
      </c>
      <c r="BJ54" s="13" t="str">
        <f t="shared" si="57"/>
        <v/>
      </c>
      <c r="BK54" s="13" t="str">
        <f t="shared" si="57"/>
        <v/>
      </c>
      <c r="BL54" s="13" t="str">
        <f t="shared" si="57"/>
        <v/>
      </c>
      <c r="BM54" s="13" t="str">
        <f t="shared" si="57"/>
        <v/>
      </c>
      <c r="BN54" s="13" t="str">
        <f t="shared" si="57"/>
        <v/>
      </c>
      <c r="BO54" s="13" t="str">
        <f t="shared" si="58"/>
        <v/>
      </c>
      <c r="BP54" s="13" t="str">
        <f t="shared" si="58"/>
        <v/>
      </c>
      <c r="BQ54" s="13" t="str">
        <f t="shared" si="58"/>
        <v/>
      </c>
      <c r="BR54" s="13" t="str">
        <f t="shared" si="58"/>
        <v/>
      </c>
      <c r="BS54" s="13" t="str">
        <f t="shared" si="58"/>
        <v/>
      </c>
      <c r="BT54" s="13" t="str">
        <f t="shared" si="58"/>
        <v/>
      </c>
      <c r="BU54" s="13" t="str">
        <f t="shared" si="58"/>
        <v/>
      </c>
      <c r="BV54" s="13" t="str">
        <f t="shared" si="58"/>
        <v/>
      </c>
      <c r="BW54" s="13" t="str">
        <f t="shared" si="58"/>
        <v/>
      </c>
      <c r="BX54" s="13" t="str">
        <f t="shared" si="58"/>
        <v/>
      </c>
      <c r="BY54" s="13" t="str">
        <f t="shared" si="59"/>
        <v/>
      </c>
      <c r="BZ54" s="13" t="str">
        <f t="shared" si="59"/>
        <v/>
      </c>
      <c r="CA54" s="13" t="str">
        <f t="shared" si="59"/>
        <v/>
      </c>
      <c r="CB54" s="13" t="str">
        <f t="shared" si="59"/>
        <v/>
      </c>
      <c r="CC54" s="13" t="str">
        <f t="shared" si="59"/>
        <v/>
      </c>
      <c r="CD54" s="13" t="str">
        <f t="shared" si="59"/>
        <v/>
      </c>
      <c r="CE54" s="13" t="str">
        <f t="shared" si="59"/>
        <v/>
      </c>
      <c r="CF54" s="13" t="str">
        <f t="shared" si="59"/>
        <v/>
      </c>
      <c r="CG54" s="13" t="str">
        <f t="shared" si="59"/>
        <v/>
      </c>
      <c r="CH54" s="13" t="str">
        <f t="shared" si="59"/>
        <v/>
      </c>
      <c r="CI54" s="13" t="str">
        <f t="shared" si="60"/>
        <v/>
      </c>
      <c r="CJ54" s="13" t="str">
        <f t="shared" si="60"/>
        <v/>
      </c>
      <c r="CK54" s="13" t="str">
        <f t="shared" si="60"/>
        <v/>
      </c>
      <c r="CL54" s="13" t="str">
        <f t="shared" si="60"/>
        <v/>
      </c>
      <c r="CM54" s="13" t="str">
        <f t="shared" si="60"/>
        <v/>
      </c>
      <c r="CN54" s="13" t="str">
        <f t="shared" si="60"/>
        <v/>
      </c>
      <c r="CO54" s="13" t="str">
        <f t="shared" si="60"/>
        <v/>
      </c>
      <c r="CP54" s="13" t="str">
        <f t="shared" si="60"/>
        <v/>
      </c>
      <c r="CQ54" s="13" t="str">
        <f t="shared" si="60"/>
        <v/>
      </c>
      <c r="CR54" s="13" t="str">
        <f t="shared" si="60"/>
        <v/>
      </c>
      <c r="CS54" s="13" t="str">
        <f t="shared" si="61"/>
        <v/>
      </c>
      <c r="CT54" s="13" t="str">
        <f t="shared" si="61"/>
        <v/>
      </c>
      <c r="CU54" s="13" t="str">
        <f t="shared" si="61"/>
        <v/>
      </c>
      <c r="CV54" s="13" t="str">
        <f t="shared" si="61"/>
        <v/>
      </c>
      <c r="CW54" s="13" t="str">
        <f t="shared" si="61"/>
        <v/>
      </c>
      <c r="CX54" s="13" t="str">
        <f t="shared" si="61"/>
        <v/>
      </c>
      <c r="CY54" s="13" t="str">
        <f t="shared" si="61"/>
        <v/>
      </c>
      <c r="CZ54" s="13" t="str">
        <f t="shared" si="61"/>
        <v/>
      </c>
      <c r="DA54" s="13" t="str">
        <f t="shared" si="61"/>
        <v/>
      </c>
      <c r="DB54" s="13" t="str">
        <f t="shared" si="61"/>
        <v/>
      </c>
      <c r="DC54" s="13" t="str">
        <f t="shared" si="62"/>
        <v/>
      </c>
      <c r="DD54" s="13" t="str">
        <f t="shared" si="62"/>
        <v/>
      </c>
      <c r="DE54" s="13" t="str">
        <f t="shared" si="62"/>
        <v/>
      </c>
      <c r="DF54" s="13" t="str">
        <f t="shared" si="62"/>
        <v/>
      </c>
      <c r="DG54" s="13" t="str">
        <f t="shared" si="62"/>
        <v/>
      </c>
      <c r="DH54" s="13" t="str">
        <f t="shared" si="62"/>
        <v/>
      </c>
      <c r="DI54" s="13" t="str">
        <f t="shared" si="62"/>
        <v/>
      </c>
      <c r="DJ54" s="13" t="str">
        <f t="shared" si="62"/>
        <v/>
      </c>
      <c r="DK54" s="13" t="str">
        <f t="shared" si="62"/>
        <v/>
      </c>
      <c r="DL54" s="13" t="str">
        <f t="shared" si="62"/>
        <v/>
      </c>
      <c r="DM54" s="13" t="str">
        <f t="shared" si="63"/>
        <v/>
      </c>
      <c r="DN54" s="13" t="str">
        <f t="shared" si="63"/>
        <v/>
      </c>
      <c r="DO54" s="13" t="str">
        <f t="shared" si="63"/>
        <v/>
      </c>
      <c r="DP54" s="13" t="str">
        <f t="shared" si="63"/>
        <v/>
      </c>
      <c r="DQ54" s="13" t="str">
        <f t="shared" si="63"/>
        <v/>
      </c>
      <c r="DR54" s="13" t="str">
        <f t="shared" si="63"/>
        <v/>
      </c>
      <c r="DS54" s="13" t="str">
        <f t="shared" si="63"/>
        <v/>
      </c>
      <c r="DT54" s="13" t="str">
        <f t="shared" si="63"/>
        <v/>
      </c>
      <c r="DU54" s="13" t="str">
        <f t="shared" si="63"/>
        <v/>
      </c>
      <c r="DV54" s="13" t="str">
        <f t="shared" si="63"/>
        <v/>
      </c>
      <c r="DW54" s="13" t="str">
        <f t="shared" si="64"/>
        <v/>
      </c>
      <c r="DX54" s="13" t="str">
        <f t="shared" si="64"/>
        <v/>
      </c>
      <c r="DY54" s="13" t="str">
        <f t="shared" si="64"/>
        <v/>
      </c>
      <c r="DZ54" s="13" t="str">
        <f t="shared" si="64"/>
        <v/>
      </c>
      <c r="EA54" s="13" t="str">
        <f t="shared" si="64"/>
        <v/>
      </c>
      <c r="EB54" s="13" t="str">
        <f t="shared" si="64"/>
        <v/>
      </c>
      <c r="EC54" s="13" t="str">
        <f t="shared" si="64"/>
        <v/>
      </c>
      <c r="ED54" s="13" t="str">
        <f t="shared" si="64"/>
        <v/>
      </c>
      <c r="EE54" s="13" t="str">
        <f t="shared" si="64"/>
        <v/>
      </c>
      <c r="EF54" s="13" t="str">
        <f t="shared" si="64"/>
        <v/>
      </c>
      <c r="EG54" s="13" t="str">
        <f t="shared" si="64"/>
        <v/>
      </c>
      <c r="EH54" s="13" t="str">
        <f t="shared" si="64"/>
        <v/>
      </c>
    </row>
    <row r="55" spans="1:138" ht="15.75" customHeight="1">
      <c r="A55" s="54" t="s">
        <v>134</v>
      </c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  <c r="AA55" s="54"/>
      <c r="AB55" s="54"/>
      <c r="AC55" s="54"/>
      <c r="AD55" s="54"/>
      <c r="AE55" s="54"/>
      <c r="AF55" s="54"/>
      <c r="AG55" s="54"/>
      <c r="AH55" s="54"/>
      <c r="AI55" s="54"/>
      <c r="AJ55" s="54"/>
      <c r="AK55" s="54"/>
      <c r="AL55" s="54"/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  <c r="DO55" s="54"/>
      <c r="DP55" s="54"/>
      <c r="DQ55" s="54"/>
      <c r="DR55" s="54"/>
      <c r="DS55" s="54"/>
      <c r="DT55" s="54"/>
      <c r="DU55" s="54"/>
      <c r="DV55" s="54"/>
      <c r="DW55" s="54"/>
      <c r="DX55" s="54"/>
      <c r="DY55" s="54"/>
      <c r="DZ55" s="54"/>
      <c r="EA55" s="54"/>
      <c r="EB55" s="54"/>
      <c r="EC55" s="54"/>
      <c r="ED55" s="54"/>
      <c r="EE55" s="54"/>
      <c r="EF55" s="54"/>
      <c r="EG55" s="54"/>
      <c r="EH55" s="54"/>
    </row>
    <row r="56" spans="1:138" ht="13.5" customHeight="1">
      <c r="A56" s="55" t="s">
        <v>135</v>
      </c>
      <c r="B56" s="56" t="s">
        <v>136</v>
      </c>
      <c r="C56" s="57" t="s">
        <v>137</v>
      </c>
      <c r="D56" s="9" t="s">
        <v>79</v>
      </c>
      <c r="E56" s="10">
        <v>46296</v>
      </c>
      <c r="F56" s="10">
        <v>46297</v>
      </c>
      <c r="G56" s="11" t="str">
        <f t="shared" ref="G56:P67" si="65">IF(AND($E56&lt;&gt;"",$F56&lt;&gt;"",$E56&lt;=G$3,$F56&gt;=G$3),"▪","")</f>
        <v/>
      </c>
      <c r="H56" s="11" t="str">
        <f t="shared" si="65"/>
        <v/>
      </c>
      <c r="I56" s="11" t="str">
        <f t="shared" si="65"/>
        <v/>
      </c>
      <c r="J56" s="11" t="str">
        <f t="shared" si="65"/>
        <v/>
      </c>
      <c r="K56" s="11" t="str">
        <f t="shared" si="65"/>
        <v/>
      </c>
      <c r="L56" s="11" t="str">
        <f t="shared" si="65"/>
        <v/>
      </c>
      <c r="M56" s="11" t="str">
        <f t="shared" si="65"/>
        <v/>
      </c>
      <c r="N56" s="11" t="str">
        <f t="shared" si="65"/>
        <v/>
      </c>
      <c r="O56" s="11" t="str">
        <f t="shared" si="65"/>
        <v/>
      </c>
      <c r="P56" s="11" t="str">
        <f t="shared" si="65"/>
        <v/>
      </c>
      <c r="Q56" s="11" t="str">
        <f t="shared" ref="Q56:Z67" si="66">IF(AND($E56&lt;&gt;"",$F56&lt;&gt;"",$E56&lt;=Q$3,$F56&gt;=Q$3),"▪","")</f>
        <v/>
      </c>
      <c r="R56" s="11" t="str">
        <f t="shared" si="66"/>
        <v/>
      </c>
      <c r="S56" s="11" t="str">
        <f t="shared" si="66"/>
        <v/>
      </c>
      <c r="T56" s="11" t="str">
        <f t="shared" si="66"/>
        <v/>
      </c>
      <c r="U56" s="11" t="str">
        <f t="shared" si="66"/>
        <v/>
      </c>
      <c r="V56" s="11" t="str">
        <f t="shared" si="66"/>
        <v/>
      </c>
      <c r="W56" s="11" t="str">
        <f t="shared" si="66"/>
        <v/>
      </c>
      <c r="X56" s="11" t="str">
        <f t="shared" si="66"/>
        <v/>
      </c>
      <c r="Y56" s="11" t="str">
        <f t="shared" si="66"/>
        <v/>
      </c>
      <c r="Z56" s="11" t="str">
        <f t="shared" si="66"/>
        <v/>
      </c>
      <c r="AA56" s="11" t="str">
        <f t="shared" ref="AA56:AJ67" si="67">IF(AND($E56&lt;&gt;"",$F56&lt;&gt;"",$E56&lt;=AA$3,$F56&gt;=AA$3),"▪","")</f>
        <v/>
      </c>
      <c r="AB56" s="11" t="str">
        <f t="shared" si="67"/>
        <v/>
      </c>
      <c r="AC56" s="11" t="str">
        <f t="shared" si="67"/>
        <v/>
      </c>
      <c r="AD56" s="11" t="str">
        <f t="shared" si="67"/>
        <v/>
      </c>
      <c r="AE56" s="11" t="str">
        <f t="shared" si="67"/>
        <v/>
      </c>
      <c r="AF56" s="11" t="str">
        <f t="shared" si="67"/>
        <v/>
      </c>
      <c r="AG56" s="11" t="str">
        <f t="shared" si="67"/>
        <v/>
      </c>
      <c r="AH56" s="11" t="str">
        <f t="shared" si="67"/>
        <v/>
      </c>
      <c r="AI56" s="11" t="str">
        <f t="shared" si="67"/>
        <v/>
      </c>
      <c r="AJ56" s="11" t="str">
        <f t="shared" si="67"/>
        <v/>
      </c>
      <c r="AK56" s="11" t="str">
        <f t="shared" ref="AK56:AT67" si="68">IF(AND($E56&lt;&gt;"",$F56&lt;&gt;"",$E56&lt;=AK$3,$F56&gt;=AK$3),"▪","")</f>
        <v/>
      </c>
      <c r="AL56" s="11" t="str">
        <f t="shared" si="68"/>
        <v/>
      </c>
      <c r="AM56" s="11" t="str">
        <f t="shared" si="68"/>
        <v/>
      </c>
      <c r="AN56" s="11" t="str">
        <f t="shared" si="68"/>
        <v/>
      </c>
      <c r="AO56" s="11" t="str">
        <f t="shared" si="68"/>
        <v/>
      </c>
      <c r="AP56" s="11" t="str">
        <f t="shared" si="68"/>
        <v/>
      </c>
      <c r="AQ56" s="11" t="str">
        <f t="shared" si="68"/>
        <v/>
      </c>
      <c r="AR56" s="11" t="str">
        <f t="shared" si="68"/>
        <v/>
      </c>
      <c r="AS56" s="11" t="str">
        <f t="shared" si="68"/>
        <v/>
      </c>
      <c r="AT56" s="11" t="str">
        <f t="shared" si="68"/>
        <v/>
      </c>
      <c r="AU56" s="11" t="str">
        <f t="shared" ref="AU56:BD67" si="69">IF(AND($E56&lt;&gt;"",$F56&lt;&gt;"",$E56&lt;=AU$3,$F56&gt;=AU$3),"▪","")</f>
        <v/>
      </c>
      <c r="AV56" s="11" t="str">
        <f t="shared" si="69"/>
        <v/>
      </c>
      <c r="AW56" s="11" t="str">
        <f t="shared" si="69"/>
        <v/>
      </c>
      <c r="AX56" s="11" t="str">
        <f t="shared" si="69"/>
        <v/>
      </c>
      <c r="AY56" s="11" t="str">
        <f t="shared" si="69"/>
        <v/>
      </c>
      <c r="AZ56" s="11" t="str">
        <f t="shared" si="69"/>
        <v/>
      </c>
      <c r="BA56" s="11" t="str">
        <f t="shared" si="69"/>
        <v/>
      </c>
      <c r="BB56" s="11" t="str">
        <f t="shared" si="69"/>
        <v/>
      </c>
      <c r="BC56" s="11" t="str">
        <f t="shared" si="69"/>
        <v/>
      </c>
      <c r="BD56" s="11" t="str">
        <f t="shared" si="69"/>
        <v/>
      </c>
      <c r="BE56" s="11" t="str">
        <f t="shared" ref="BE56:BN67" si="70">IF(AND($E56&lt;&gt;"",$F56&lt;&gt;"",$E56&lt;=BE$3,$F56&gt;=BE$3),"▪","")</f>
        <v/>
      </c>
      <c r="BF56" s="11" t="str">
        <f t="shared" si="70"/>
        <v/>
      </c>
      <c r="BG56" s="11" t="str">
        <f t="shared" si="70"/>
        <v/>
      </c>
      <c r="BH56" s="11" t="str">
        <f t="shared" si="70"/>
        <v/>
      </c>
      <c r="BI56" s="11" t="str">
        <f t="shared" si="70"/>
        <v/>
      </c>
      <c r="BJ56" s="11" t="str">
        <f t="shared" si="70"/>
        <v/>
      </c>
      <c r="BK56" s="11" t="str">
        <f t="shared" si="70"/>
        <v/>
      </c>
      <c r="BL56" s="11" t="str">
        <f t="shared" si="70"/>
        <v/>
      </c>
      <c r="BM56" s="11" t="str">
        <f t="shared" si="70"/>
        <v/>
      </c>
      <c r="BN56" s="11" t="str">
        <f t="shared" si="70"/>
        <v/>
      </c>
      <c r="BO56" s="11" t="str">
        <f t="shared" ref="BO56:BX67" si="71">IF(AND($E56&lt;&gt;"",$F56&lt;&gt;"",$E56&lt;=BO$3,$F56&gt;=BO$3),"▪","")</f>
        <v/>
      </c>
      <c r="BP56" s="11" t="str">
        <f t="shared" si="71"/>
        <v>▪</v>
      </c>
      <c r="BQ56" s="11" t="str">
        <f t="shared" si="71"/>
        <v>▪</v>
      </c>
      <c r="BR56" s="11" t="str">
        <f t="shared" si="71"/>
        <v/>
      </c>
      <c r="BS56" s="11" t="str">
        <f t="shared" si="71"/>
        <v/>
      </c>
      <c r="BT56" s="11" t="str">
        <f t="shared" si="71"/>
        <v/>
      </c>
      <c r="BU56" s="11" t="str">
        <f t="shared" si="71"/>
        <v/>
      </c>
      <c r="BV56" s="11" t="str">
        <f t="shared" si="71"/>
        <v/>
      </c>
      <c r="BW56" s="11" t="str">
        <f t="shared" si="71"/>
        <v/>
      </c>
      <c r="BX56" s="11" t="str">
        <f t="shared" si="71"/>
        <v/>
      </c>
      <c r="BY56" s="11" t="str">
        <f t="shared" ref="BY56:CH67" si="72">IF(AND($E56&lt;&gt;"",$F56&lt;&gt;"",$E56&lt;=BY$3,$F56&gt;=BY$3),"▪","")</f>
        <v/>
      </c>
      <c r="BZ56" s="11" t="str">
        <f t="shared" si="72"/>
        <v/>
      </c>
      <c r="CA56" s="11" t="str">
        <f t="shared" si="72"/>
        <v/>
      </c>
      <c r="CB56" s="11" t="str">
        <f t="shared" si="72"/>
        <v/>
      </c>
      <c r="CC56" s="11" t="str">
        <f t="shared" si="72"/>
        <v/>
      </c>
      <c r="CD56" s="11" t="str">
        <f t="shared" si="72"/>
        <v/>
      </c>
      <c r="CE56" s="11" t="str">
        <f t="shared" si="72"/>
        <v/>
      </c>
      <c r="CF56" s="11" t="str">
        <f t="shared" si="72"/>
        <v/>
      </c>
      <c r="CG56" s="11" t="str">
        <f t="shared" si="72"/>
        <v/>
      </c>
      <c r="CH56" s="11" t="str">
        <f t="shared" si="72"/>
        <v/>
      </c>
      <c r="CI56" s="11" t="str">
        <f t="shared" ref="CI56:CR67" si="73">IF(AND($E56&lt;&gt;"",$F56&lt;&gt;"",$E56&lt;=CI$3,$F56&gt;=CI$3),"▪","")</f>
        <v/>
      </c>
      <c r="CJ56" s="11" t="str">
        <f t="shared" si="73"/>
        <v/>
      </c>
      <c r="CK56" s="11" t="str">
        <f t="shared" si="73"/>
        <v/>
      </c>
      <c r="CL56" s="11" t="str">
        <f t="shared" si="73"/>
        <v/>
      </c>
      <c r="CM56" s="11" t="str">
        <f t="shared" si="73"/>
        <v/>
      </c>
      <c r="CN56" s="11" t="str">
        <f t="shared" si="73"/>
        <v/>
      </c>
      <c r="CO56" s="11" t="str">
        <f t="shared" si="73"/>
        <v/>
      </c>
      <c r="CP56" s="11" t="str">
        <f t="shared" si="73"/>
        <v/>
      </c>
      <c r="CQ56" s="11" t="str">
        <f t="shared" si="73"/>
        <v/>
      </c>
      <c r="CR56" s="11" t="str">
        <f t="shared" si="73"/>
        <v/>
      </c>
      <c r="CS56" s="11" t="str">
        <f t="shared" ref="CS56:DB67" si="74">IF(AND($E56&lt;&gt;"",$F56&lt;&gt;"",$E56&lt;=CS$3,$F56&gt;=CS$3),"▪","")</f>
        <v/>
      </c>
      <c r="CT56" s="11" t="str">
        <f t="shared" si="74"/>
        <v/>
      </c>
      <c r="CU56" s="11" t="str">
        <f t="shared" si="74"/>
        <v/>
      </c>
      <c r="CV56" s="11" t="str">
        <f t="shared" si="74"/>
        <v/>
      </c>
      <c r="CW56" s="11" t="str">
        <f t="shared" si="74"/>
        <v/>
      </c>
      <c r="CX56" s="11" t="str">
        <f t="shared" si="74"/>
        <v/>
      </c>
      <c r="CY56" s="11" t="str">
        <f t="shared" si="74"/>
        <v/>
      </c>
      <c r="CZ56" s="11" t="str">
        <f t="shared" si="74"/>
        <v/>
      </c>
      <c r="DA56" s="11" t="str">
        <f t="shared" si="74"/>
        <v/>
      </c>
      <c r="DB56" s="11" t="str">
        <f t="shared" si="74"/>
        <v/>
      </c>
      <c r="DC56" s="11" t="str">
        <f t="shared" ref="DC56:DL67" si="75">IF(AND($E56&lt;&gt;"",$F56&lt;&gt;"",$E56&lt;=DC$3,$F56&gt;=DC$3),"▪","")</f>
        <v/>
      </c>
      <c r="DD56" s="11" t="str">
        <f t="shared" si="75"/>
        <v/>
      </c>
      <c r="DE56" s="11" t="str">
        <f t="shared" si="75"/>
        <v/>
      </c>
      <c r="DF56" s="11" t="str">
        <f t="shared" si="75"/>
        <v/>
      </c>
      <c r="DG56" s="11" t="str">
        <f t="shared" si="75"/>
        <v/>
      </c>
      <c r="DH56" s="11" t="str">
        <f t="shared" si="75"/>
        <v/>
      </c>
      <c r="DI56" s="11" t="str">
        <f t="shared" si="75"/>
        <v/>
      </c>
      <c r="DJ56" s="11" t="str">
        <f t="shared" si="75"/>
        <v/>
      </c>
      <c r="DK56" s="11" t="str">
        <f t="shared" si="75"/>
        <v/>
      </c>
      <c r="DL56" s="11" t="str">
        <f t="shared" si="75"/>
        <v/>
      </c>
      <c r="DM56" s="11" t="str">
        <f t="shared" ref="DM56:DV67" si="76">IF(AND($E56&lt;&gt;"",$F56&lt;&gt;"",$E56&lt;=DM$3,$F56&gt;=DM$3),"▪","")</f>
        <v/>
      </c>
      <c r="DN56" s="11" t="str">
        <f t="shared" si="76"/>
        <v/>
      </c>
      <c r="DO56" s="11" t="str">
        <f t="shared" si="76"/>
        <v/>
      </c>
      <c r="DP56" s="11" t="str">
        <f t="shared" si="76"/>
        <v/>
      </c>
      <c r="DQ56" s="11" t="str">
        <f t="shared" si="76"/>
        <v/>
      </c>
      <c r="DR56" s="11" t="str">
        <f t="shared" si="76"/>
        <v/>
      </c>
      <c r="DS56" s="11" t="str">
        <f t="shared" si="76"/>
        <v/>
      </c>
      <c r="DT56" s="11" t="str">
        <f t="shared" si="76"/>
        <v/>
      </c>
      <c r="DU56" s="11" t="str">
        <f t="shared" si="76"/>
        <v/>
      </c>
      <c r="DV56" s="11" t="str">
        <f t="shared" si="76"/>
        <v/>
      </c>
      <c r="DW56" s="11" t="str">
        <f t="shared" ref="DW56:EH67" si="77">IF(AND($E56&lt;&gt;"",$F56&lt;&gt;"",$E56&lt;=DW$3,$F56&gt;=DW$3),"▪","")</f>
        <v/>
      </c>
      <c r="DX56" s="11" t="str">
        <f t="shared" si="77"/>
        <v/>
      </c>
      <c r="DY56" s="11" t="str">
        <f t="shared" si="77"/>
        <v/>
      </c>
      <c r="DZ56" s="11" t="str">
        <f t="shared" si="77"/>
        <v/>
      </c>
      <c r="EA56" s="11" t="str">
        <f t="shared" si="77"/>
        <v/>
      </c>
      <c r="EB56" s="11" t="str">
        <f t="shared" si="77"/>
        <v/>
      </c>
      <c r="EC56" s="11" t="str">
        <f t="shared" si="77"/>
        <v/>
      </c>
      <c r="ED56" s="11" t="str">
        <f t="shared" si="77"/>
        <v/>
      </c>
      <c r="EE56" s="11" t="str">
        <f t="shared" si="77"/>
        <v/>
      </c>
      <c r="EF56" s="11" t="str">
        <f t="shared" si="77"/>
        <v/>
      </c>
      <c r="EG56" s="11" t="str">
        <f t="shared" si="77"/>
        <v/>
      </c>
      <c r="EH56" s="11" t="str">
        <f t="shared" si="77"/>
        <v/>
      </c>
    </row>
    <row r="57" spans="1:138" ht="13.5" customHeight="1">
      <c r="A57" s="55"/>
      <c r="B57" s="55"/>
      <c r="C57" s="55"/>
      <c r="D57" s="12" t="s">
        <v>80</v>
      </c>
      <c r="E57" s="10">
        <v>46284</v>
      </c>
      <c r="F57" s="10">
        <v>46290</v>
      </c>
      <c r="G57" s="13" t="str">
        <f t="shared" si="65"/>
        <v/>
      </c>
      <c r="H57" s="13" t="str">
        <f t="shared" si="65"/>
        <v/>
      </c>
      <c r="I57" s="13" t="str">
        <f t="shared" si="65"/>
        <v/>
      </c>
      <c r="J57" s="13" t="str">
        <f t="shared" si="65"/>
        <v/>
      </c>
      <c r="K57" s="13" t="str">
        <f t="shared" si="65"/>
        <v/>
      </c>
      <c r="L57" s="13" t="str">
        <f t="shared" si="65"/>
        <v/>
      </c>
      <c r="M57" s="13" t="str">
        <f t="shared" si="65"/>
        <v/>
      </c>
      <c r="N57" s="13" t="str">
        <f t="shared" si="65"/>
        <v/>
      </c>
      <c r="O57" s="13" t="str">
        <f t="shared" si="65"/>
        <v/>
      </c>
      <c r="P57" s="13" t="str">
        <f t="shared" si="65"/>
        <v/>
      </c>
      <c r="Q57" s="13" t="str">
        <f t="shared" si="66"/>
        <v/>
      </c>
      <c r="R57" s="13" t="str">
        <f t="shared" si="66"/>
        <v/>
      </c>
      <c r="S57" s="13" t="str">
        <f t="shared" si="66"/>
        <v/>
      </c>
      <c r="T57" s="13" t="str">
        <f t="shared" si="66"/>
        <v/>
      </c>
      <c r="U57" s="13" t="str">
        <f t="shared" si="66"/>
        <v/>
      </c>
      <c r="V57" s="13" t="str">
        <f t="shared" si="66"/>
        <v/>
      </c>
      <c r="W57" s="13" t="str">
        <f t="shared" si="66"/>
        <v/>
      </c>
      <c r="X57" s="13" t="str">
        <f t="shared" si="66"/>
        <v/>
      </c>
      <c r="Y57" s="13" t="str">
        <f t="shared" si="66"/>
        <v/>
      </c>
      <c r="Z57" s="13" t="str">
        <f t="shared" si="66"/>
        <v/>
      </c>
      <c r="AA57" s="13" t="str">
        <f t="shared" si="67"/>
        <v/>
      </c>
      <c r="AB57" s="13" t="str">
        <f t="shared" si="67"/>
        <v/>
      </c>
      <c r="AC57" s="13" t="str">
        <f t="shared" si="67"/>
        <v/>
      </c>
      <c r="AD57" s="13" t="str">
        <f t="shared" si="67"/>
        <v/>
      </c>
      <c r="AE57" s="13" t="str">
        <f t="shared" si="67"/>
        <v/>
      </c>
      <c r="AF57" s="13" t="str">
        <f t="shared" si="67"/>
        <v/>
      </c>
      <c r="AG57" s="13" t="str">
        <f t="shared" si="67"/>
        <v/>
      </c>
      <c r="AH57" s="13" t="str">
        <f t="shared" si="67"/>
        <v/>
      </c>
      <c r="AI57" s="13" t="str">
        <f t="shared" si="67"/>
        <v/>
      </c>
      <c r="AJ57" s="13" t="str">
        <f t="shared" si="67"/>
        <v/>
      </c>
      <c r="AK57" s="13" t="str">
        <f t="shared" si="68"/>
        <v/>
      </c>
      <c r="AL57" s="13" t="str">
        <f t="shared" si="68"/>
        <v/>
      </c>
      <c r="AM57" s="13" t="str">
        <f t="shared" si="68"/>
        <v/>
      </c>
      <c r="AN57" s="13" t="str">
        <f t="shared" si="68"/>
        <v/>
      </c>
      <c r="AO57" s="13" t="str">
        <f t="shared" si="68"/>
        <v/>
      </c>
      <c r="AP57" s="13" t="str">
        <f t="shared" si="68"/>
        <v/>
      </c>
      <c r="AQ57" s="13" t="str">
        <f t="shared" si="68"/>
        <v/>
      </c>
      <c r="AR57" s="13" t="str">
        <f t="shared" si="68"/>
        <v/>
      </c>
      <c r="AS57" s="13" t="str">
        <f t="shared" si="68"/>
        <v/>
      </c>
      <c r="AT57" s="13" t="str">
        <f t="shared" si="68"/>
        <v/>
      </c>
      <c r="AU57" s="13" t="str">
        <f t="shared" si="69"/>
        <v/>
      </c>
      <c r="AV57" s="13" t="str">
        <f t="shared" si="69"/>
        <v/>
      </c>
      <c r="AW57" s="13" t="str">
        <f t="shared" si="69"/>
        <v/>
      </c>
      <c r="AX57" s="13" t="str">
        <f t="shared" si="69"/>
        <v/>
      </c>
      <c r="AY57" s="13" t="str">
        <f t="shared" si="69"/>
        <v/>
      </c>
      <c r="AZ57" s="13" t="str">
        <f t="shared" si="69"/>
        <v/>
      </c>
      <c r="BA57" s="13" t="str">
        <f t="shared" si="69"/>
        <v/>
      </c>
      <c r="BB57" s="13" t="str">
        <f t="shared" si="69"/>
        <v/>
      </c>
      <c r="BC57" s="13" t="str">
        <f t="shared" si="69"/>
        <v/>
      </c>
      <c r="BD57" s="13" t="str">
        <f t="shared" si="69"/>
        <v>▪</v>
      </c>
      <c r="BE57" s="13" t="str">
        <f t="shared" si="70"/>
        <v>▪</v>
      </c>
      <c r="BF57" s="13" t="str">
        <f t="shared" si="70"/>
        <v>▪</v>
      </c>
      <c r="BG57" s="13" t="str">
        <f t="shared" si="70"/>
        <v>▪</v>
      </c>
      <c r="BH57" s="13" t="str">
        <f t="shared" si="70"/>
        <v>▪</v>
      </c>
      <c r="BI57" s="13" t="str">
        <f t="shared" si="70"/>
        <v>▪</v>
      </c>
      <c r="BJ57" s="13" t="str">
        <f t="shared" si="70"/>
        <v>▪</v>
      </c>
      <c r="BK57" s="13" t="str">
        <f t="shared" si="70"/>
        <v/>
      </c>
      <c r="BL57" s="13" t="str">
        <f t="shared" si="70"/>
        <v/>
      </c>
      <c r="BM57" s="13" t="str">
        <f t="shared" si="70"/>
        <v/>
      </c>
      <c r="BN57" s="13" t="str">
        <f t="shared" si="70"/>
        <v/>
      </c>
      <c r="BO57" s="13" t="str">
        <f t="shared" si="71"/>
        <v/>
      </c>
      <c r="BP57" s="13" t="str">
        <f t="shared" si="71"/>
        <v/>
      </c>
      <c r="BQ57" s="13" t="str">
        <f t="shared" si="71"/>
        <v/>
      </c>
      <c r="BR57" s="13" t="str">
        <f t="shared" si="71"/>
        <v/>
      </c>
      <c r="BS57" s="13" t="str">
        <f t="shared" si="71"/>
        <v/>
      </c>
      <c r="BT57" s="13" t="str">
        <f t="shared" si="71"/>
        <v/>
      </c>
      <c r="BU57" s="13" t="str">
        <f t="shared" si="71"/>
        <v/>
      </c>
      <c r="BV57" s="13" t="str">
        <f t="shared" si="71"/>
        <v/>
      </c>
      <c r="BW57" s="13" t="str">
        <f t="shared" si="71"/>
        <v/>
      </c>
      <c r="BX57" s="13" t="str">
        <f t="shared" si="71"/>
        <v/>
      </c>
      <c r="BY57" s="13" t="str">
        <f t="shared" si="72"/>
        <v/>
      </c>
      <c r="BZ57" s="13" t="str">
        <f t="shared" si="72"/>
        <v/>
      </c>
      <c r="CA57" s="13" t="str">
        <f t="shared" si="72"/>
        <v/>
      </c>
      <c r="CB57" s="13" t="str">
        <f t="shared" si="72"/>
        <v/>
      </c>
      <c r="CC57" s="13" t="str">
        <f t="shared" si="72"/>
        <v/>
      </c>
      <c r="CD57" s="13" t="str">
        <f t="shared" si="72"/>
        <v/>
      </c>
      <c r="CE57" s="13" t="str">
        <f t="shared" si="72"/>
        <v/>
      </c>
      <c r="CF57" s="13" t="str">
        <f t="shared" si="72"/>
        <v/>
      </c>
      <c r="CG57" s="13" t="str">
        <f t="shared" si="72"/>
        <v/>
      </c>
      <c r="CH57" s="13" t="str">
        <f t="shared" si="72"/>
        <v/>
      </c>
      <c r="CI57" s="13" t="str">
        <f t="shared" si="73"/>
        <v/>
      </c>
      <c r="CJ57" s="13" t="str">
        <f t="shared" si="73"/>
        <v/>
      </c>
      <c r="CK57" s="13" t="str">
        <f t="shared" si="73"/>
        <v/>
      </c>
      <c r="CL57" s="13" t="str">
        <f t="shared" si="73"/>
        <v/>
      </c>
      <c r="CM57" s="13" t="str">
        <f t="shared" si="73"/>
        <v/>
      </c>
      <c r="CN57" s="13" t="str">
        <f t="shared" si="73"/>
        <v/>
      </c>
      <c r="CO57" s="13" t="str">
        <f t="shared" si="73"/>
        <v/>
      </c>
      <c r="CP57" s="13" t="str">
        <f t="shared" si="73"/>
        <v/>
      </c>
      <c r="CQ57" s="13" t="str">
        <f t="shared" si="73"/>
        <v/>
      </c>
      <c r="CR57" s="13" t="str">
        <f t="shared" si="73"/>
        <v/>
      </c>
      <c r="CS57" s="13" t="str">
        <f t="shared" si="74"/>
        <v/>
      </c>
      <c r="CT57" s="13" t="str">
        <f t="shared" si="74"/>
        <v/>
      </c>
      <c r="CU57" s="13" t="str">
        <f t="shared" si="74"/>
        <v/>
      </c>
      <c r="CV57" s="13" t="str">
        <f t="shared" si="74"/>
        <v/>
      </c>
      <c r="CW57" s="13" t="str">
        <f t="shared" si="74"/>
        <v/>
      </c>
      <c r="CX57" s="13" t="str">
        <f t="shared" si="74"/>
        <v/>
      </c>
      <c r="CY57" s="13" t="str">
        <f t="shared" si="74"/>
        <v/>
      </c>
      <c r="CZ57" s="13" t="str">
        <f t="shared" si="74"/>
        <v/>
      </c>
      <c r="DA57" s="13" t="str">
        <f t="shared" si="74"/>
        <v/>
      </c>
      <c r="DB57" s="13" t="str">
        <f t="shared" si="74"/>
        <v/>
      </c>
      <c r="DC57" s="13" t="str">
        <f t="shared" si="75"/>
        <v/>
      </c>
      <c r="DD57" s="13" t="str">
        <f t="shared" si="75"/>
        <v/>
      </c>
      <c r="DE57" s="13" t="str">
        <f t="shared" si="75"/>
        <v/>
      </c>
      <c r="DF57" s="13" t="str">
        <f t="shared" si="75"/>
        <v/>
      </c>
      <c r="DG57" s="13" t="str">
        <f t="shared" si="75"/>
        <v/>
      </c>
      <c r="DH57" s="13" t="str">
        <f t="shared" si="75"/>
        <v/>
      </c>
      <c r="DI57" s="13" t="str">
        <f t="shared" si="75"/>
        <v/>
      </c>
      <c r="DJ57" s="13" t="str">
        <f t="shared" si="75"/>
        <v/>
      </c>
      <c r="DK57" s="13" t="str">
        <f t="shared" si="75"/>
        <v/>
      </c>
      <c r="DL57" s="13" t="str">
        <f t="shared" si="75"/>
        <v/>
      </c>
      <c r="DM57" s="13" t="str">
        <f t="shared" si="76"/>
        <v/>
      </c>
      <c r="DN57" s="13" t="str">
        <f t="shared" si="76"/>
        <v/>
      </c>
      <c r="DO57" s="13" t="str">
        <f t="shared" si="76"/>
        <v/>
      </c>
      <c r="DP57" s="13" t="str">
        <f t="shared" si="76"/>
        <v/>
      </c>
      <c r="DQ57" s="13" t="str">
        <f t="shared" si="76"/>
        <v/>
      </c>
      <c r="DR57" s="13" t="str">
        <f t="shared" si="76"/>
        <v/>
      </c>
      <c r="DS57" s="13" t="str">
        <f t="shared" si="76"/>
        <v/>
      </c>
      <c r="DT57" s="13" t="str">
        <f t="shared" si="76"/>
        <v/>
      </c>
      <c r="DU57" s="13" t="str">
        <f t="shared" si="76"/>
        <v/>
      </c>
      <c r="DV57" s="13" t="str">
        <f t="shared" si="76"/>
        <v/>
      </c>
      <c r="DW57" s="13" t="str">
        <f t="shared" si="77"/>
        <v/>
      </c>
      <c r="DX57" s="13" t="str">
        <f t="shared" si="77"/>
        <v/>
      </c>
      <c r="DY57" s="13" t="str">
        <f t="shared" si="77"/>
        <v/>
      </c>
      <c r="DZ57" s="13" t="str">
        <f t="shared" si="77"/>
        <v/>
      </c>
      <c r="EA57" s="13" t="str">
        <f t="shared" si="77"/>
        <v/>
      </c>
      <c r="EB57" s="13" t="str">
        <f t="shared" si="77"/>
        <v/>
      </c>
      <c r="EC57" s="13" t="str">
        <f t="shared" si="77"/>
        <v/>
      </c>
      <c r="ED57" s="13" t="str">
        <f t="shared" si="77"/>
        <v/>
      </c>
      <c r="EE57" s="13" t="str">
        <f t="shared" si="77"/>
        <v/>
      </c>
      <c r="EF57" s="13" t="str">
        <f t="shared" si="77"/>
        <v/>
      </c>
      <c r="EG57" s="13" t="str">
        <f t="shared" si="77"/>
        <v/>
      </c>
      <c r="EH57" s="13" t="str">
        <f t="shared" si="77"/>
        <v/>
      </c>
    </row>
    <row r="58" spans="1:138" ht="13.5" customHeight="1">
      <c r="A58" s="55" t="s">
        <v>138</v>
      </c>
      <c r="B58" s="56" t="s">
        <v>139</v>
      </c>
      <c r="C58" s="57" t="s">
        <v>90</v>
      </c>
      <c r="D58" s="9" t="s">
        <v>79</v>
      </c>
      <c r="E58" s="10">
        <v>46297</v>
      </c>
      <c r="F58" s="10">
        <v>46298</v>
      </c>
      <c r="G58" s="11" t="str">
        <f t="shared" si="65"/>
        <v/>
      </c>
      <c r="H58" s="11" t="str">
        <f t="shared" si="65"/>
        <v/>
      </c>
      <c r="I58" s="11" t="str">
        <f t="shared" si="65"/>
        <v/>
      </c>
      <c r="J58" s="11" t="str">
        <f t="shared" si="65"/>
        <v/>
      </c>
      <c r="K58" s="11" t="str">
        <f t="shared" si="65"/>
        <v/>
      </c>
      <c r="L58" s="11" t="str">
        <f t="shared" si="65"/>
        <v/>
      </c>
      <c r="M58" s="11" t="str">
        <f t="shared" si="65"/>
        <v/>
      </c>
      <c r="N58" s="11" t="str">
        <f t="shared" si="65"/>
        <v/>
      </c>
      <c r="O58" s="11" t="str">
        <f t="shared" si="65"/>
        <v/>
      </c>
      <c r="P58" s="11" t="str">
        <f t="shared" si="65"/>
        <v/>
      </c>
      <c r="Q58" s="11" t="str">
        <f t="shared" si="66"/>
        <v/>
      </c>
      <c r="R58" s="11" t="str">
        <f t="shared" si="66"/>
        <v/>
      </c>
      <c r="S58" s="11" t="str">
        <f t="shared" si="66"/>
        <v/>
      </c>
      <c r="T58" s="11" t="str">
        <f t="shared" si="66"/>
        <v/>
      </c>
      <c r="U58" s="11" t="str">
        <f t="shared" si="66"/>
        <v/>
      </c>
      <c r="V58" s="11" t="str">
        <f t="shared" si="66"/>
        <v/>
      </c>
      <c r="W58" s="11" t="str">
        <f t="shared" si="66"/>
        <v/>
      </c>
      <c r="X58" s="11" t="str">
        <f t="shared" si="66"/>
        <v/>
      </c>
      <c r="Y58" s="11" t="str">
        <f t="shared" si="66"/>
        <v/>
      </c>
      <c r="Z58" s="11" t="str">
        <f t="shared" si="66"/>
        <v/>
      </c>
      <c r="AA58" s="11" t="str">
        <f t="shared" si="67"/>
        <v/>
      </c>
      <c r="AB58" s="11" t="str">
        <f t="shared" si="67"/>
        <v/>
      </c>
      <c r="AC58" s="11" t="str">
        <f t="shared" si="67"/>
        <v/>
      </c>
      <c r="AD58" s="11" t="str">
        <f t="shared" si="67"/>
        <v/>
      </c>
      <c r="AE58" s="11" t="str">
        <f t="shared" si="67"/>
        <v/>
      </c>
      <c r="AF58" s="11" t="str">
        <f t="shared" si="67"/>
        <v/>
      </c>
      <c r="AG58" s="11" t="str">
        <f t="shared" si="67"/>
        <v/>
      </c>
      <c r="AH58" s="11" t="str">
        <f t="shared" si="67"/>
        <v/>
      </c>
      <c r="AI58" s="11" t="str">
        <f t="shared" si="67"/>
        <v/>
      </c>
      <c r="AJ58" s="11" t="str">
        <f t="shared" si="67"/>
        <v/>
      </c>
      <c r="AK58" s="11" t="str">
        <f t="shared" si="68"/>
        <v/>
      </c>
      <c r="AL58" s="11" t="str">
        <f t="shared" si="68"/>
        <v/>
      </c>
      <c r="AM58" s="11" t="str">
        <f t="shared" si="68"/>
        <v/>
      </c>
      <c r="AN58" s="11" t="str">
        <f t="shared" si="68"/>
        <v/>
      </c>
      <c r="AO58" s="11" t="str">
        <f t="shared" si="68"/>
        <v/>
      </c>
      <c r="AP58" s="11" t="str">
        <f t="shared" si="68"/>
        <v/>
      </c>
      <c r="AQ58" s="11" t="str">
        <f t="shared" si="68"/>
        <v/>
      </c>
      <c r="AR58" s="11" t="str">
        <f t="shared" si="68"/>
        <v/>
      </c>
      <c r="AS58" s="11" t="str">
        <f t="shared" si="68"/>
        <v/>
      </c>
      <c r="AT58" s="11" t="str">
        <f t="shared" si="68"/>
        <v/>
      </c>
      <c r="AU58" s="11" t="str">
        <f t="shared" si="69"/>
        <v/>
      </c>
      <c r="AV58" s="11" t="str">
        <f t="shared" si="69"/>
        <v/>
      </c>
      <c r="AW58" s="11" t="str">
        <f t="shared" si="69"/>
        <v/>
      </c>
      <c r="AX58" s="11" t="str">
        <f t="shared" si="69"/>
        <v/>
      </c>
      <c r="AY58" s="11" t="str">
        <f t="shared" si="69"/>
        <v/>
      </c>
      <c r="AZ58" s="11" t="str">
        <f t="shared" si="69"/>
        <v/>
      </c>
      <c r="BA58" s="11" t="str">
        <f t="shared" si="69"/>
        <v/>
      </c>
      <c r="BB58" s="11" t="str">
        <f t="shared" si="69"/>
        <v/>
      </c>
      <c r="BC58" s="11" t="str">
        <f t="shared" si="69"/>
        <v/>
      </c>
      <c r="BD58" s="11" t="str">
        <f t="shared" si="69"/>
        <v/>
      </c>
      <c r="BE58" s="11" t="str">
        <f t="shared" si="70"/>
        <v/>
      </c>
      <c r="BF58" s="11" t="str">
        <f t="shared" si="70"/>
        <v/>
      </c>
      <c r="BG58" s="11" t="str">
        <f t="shared" si="70"/>
        <v/>
      </c>
      <c r="BH58" s="11" t="str">
        <f t="shared" si="70"/>
        <v/>
      </c>
      <c r="BI58" s="11" t="str">
        <f t="shared" si="70"/>
        <v/>
      </c>
      <c r="BJ58" s="11" t="str">
        <f t="shared" si="70"/>
        <v/>
      </c>
      <c r="BK58" s="11" t="str">
        <f t="shared" si="70"/>
        <v/>
      </c>
      <c r="BL58" s="11" t="str">
        <f t="shared" si="70"/>
        <v/>
      </c>
      <c r="BM58" s="11" t="str">
        <f t="shared" si="70"/>
        <v/>
      </c>
      <c r="BN58" s="11" t="str">
        <f t="shared" si="70"/>
        <v/>
      </c>
      <c r="BO58" s="11" t="str">
        <f t="shared" si="71"/>
        <v/>
      </c>
      <c r="BP58" s="11" t="str">
        <f t="shared" si="71"/>
        <v/>
      </c>
      <c r="BQ58" s="11" t="str">
        <f t="shared" si="71"/>
        <v>▪</v>
      </c>
      <c r="BR58" s="11" t="str">
        <f t="shared" si="71"/>
        <v>▪</v>
      </c>
      <c r="BS58" s="11" t="str">
        <f t="shared" si="71"/>
        <v/>
      </c>
      <c r="BT58" s="11" t="str">
        <f t="shared" si="71"/>
        <v/>
      </c>
      <c r="BU58" s="11" t="str">
        <f t="shared" si="71"/>
        <v/>
      </c>
      <c r="BV58" s="11" t="str">
        <f t="shared" si="71"/>
        <v/>
      </c>
      <c r="BW58" s="11" t="str">
        <f t="shared" si="71"/>
        <v/>
      </c>
      <c r="BX58" s="11" t="str">
        <f t="shared" si="71"/>
        <v/>
      </c>
      <c r="BY58" s="11" t="str">
        <f t="shared" si="72"/>
        <v/>
      </c>
      <c r="BZ58" s="11" t="str">
        <f t="shared" si="72"/>
        <v/>
      </c>
      <c r="CA58" s="11" t="str">
        <f t="shared" si="72"/>
        <v/>
      </c>
      <c r="CB58" s="11" t="str">
        <f t="shared" si="72"/>
        <v/>
      </c>
      <c r="CC58" s="11" t="str">
        <f t="shared" si="72"/>
        <v/>
      </c>
      <c r="CD58" s="11" t="str">
        <f t="shared" si="72"/>
        <v/>
      </c>
      <c r="CE58" s="11" t="str">
        <f t="shared" si="72"/>
        <v/>
      </c>
      <c r="CF58" s="11" t="str">
        <f t="shared" si="72"/>
        <v/>
      </c>
      <c r="CG58" s="11" t="str">
        <f t="shared" si="72"/>
        <v/>
      </c>
      <c r="CH58" s="11" t="str">
        <f t="shared" si="72"/>
        <v/>
      </c>
      <c r="CI58" s="11" t="str">
        <f t="shared" si="73"/>
        <v/>
      </c>
      <c r="CJ58" s="11" t="str">
        <f t="shared" si="73"/>
        <v/>
      </c>
      <c r="CK58" s="11" t="str">
        <f t="shared" si="73"/>
        <v/>
      </c>
      <c r="CL58" s="11" t="str">
        <f t="shared" si="73"/>
        <v/>
      </c>
      <c r="CM58" s="11" t="str">
        <f t="shared" si="73"/>
        <v/>
      </c>
      <c r="CN58" s="11" t="str">
        <f t="shared" si="73"/>
        <v/>
      </c>
      <c r="CO58" s="11" t="str">
        <f t="shared" si="73"/>
        <v/>
      </c>
      <c r="CP58" s="11" t="str">
        <f t="shared" si="73"/>
        <v/>
      </c>
      <c r="CQ58" s="11" t="str">
        <f t="shared" si="73"/>
        <v/>
      </c>
      <c r="CR58" s="11" t="str">
        <f t="shared" si="73"/>
        <v/>
      </c>
      <c r="CS58" s="11" t="str">
        <f t="shared" si="74"/>
        <v/>
      </c>
      <c r="CT58" s="11" t="str">
        <f t="shared" si="74"/>
        <v/>
      </c>
      <c r="CU58" s="11" t="str">
        <f t="shared" si="74"/>
        <v/>
      </c>
      <c r="CV58" s="11" t="str">
        <f t="shared" si="74"/>
        <v/>
      </c>
      <c r="CW58" s="11" t="str">
        <f t="shared" si="74"/>
        <v/>
      </c>
      <c r="CX58" s="11" t="str">
        <f t="shared" si="74"/>
        <v/>
      </c>
      <c r="CY58" s="11" t="str">
        <f t="shared" si="74"/>
        <v/>
      </c>
      <c r="CZ58" s="11" t="str">
        <f t="shared" si="74"/>
        <v/>
      </c>
      <c r="DA58" s="11" t="str">
        <f t="shared" si="74"/>
        <v/>
      </c>
      <c r="DB58" s="11" t="str">
        <f t="shared" si="74"/>
        <v/>
      </c>
      <c r="DC58" s="11" t="str">
        <f t="shared" si="75"/>
        <v/>
      </c>
      <c r="DD58" s="11" t="str">
        <f t="shared" si="75"/>
        <v/>
      </c>
      <c r="DE58" s="11" t="str">
        <f t="shared" si="75"/>
        <v/>
      </c>
      <c r="DF58" s="11" t="str">
        <f t="shared" si="75"/>
        <v/>
      </c>
      <c r="DG58" s="11" t="str">
        <f t="shared" si="75"/>
        <v/>
      </c>
      <c r="DH58" s="11" t="str">
        <f t="shared" si="75"/>
        <v/>
      </c>
      <c r="DI58" s="11" t="str">
        <f t="shared" si="75"/>
        <v/>
      </c>
      <c r="DJ58" s="11" t="str">
        <f t="shared" si="75"/>
        <v/>
      </c>
      <c r="DK58" s="11" t="str">
        <f t="shared" si="75"/>
        <v/>
      </c>
      <c r="DL58" s="11" t="str">
        <f t="shared" si="75"/>
        <v/>
      </c>
      <c r="DM58" s="11" t="str">
        <f t="shared" si="76"/>
        <v/>
      </c>
      <c r="DN58" s="11" t="str">
        <f t="shared" si="76"/>
        <v/>
      </c>
      <c r="DO58" s="11" t="str">
        <f t="shared" si="76"/>
        <v/>
      </c>
      <c r="DP58" s="11" t="str">
        <f t="shared" si="76"/>
        <v/>
      </c>
      <c r="DQ58" s="11" t="str">
        <f t="shared" si="76"/>
        <v/>
      </c>
      <c r="DR58" s="11" t="str">
        <f t="shared" si="76"/>
        <v/>
      </c>
      <c r="DS58" s="11" t="str">
        <f t="shared" si="76"/>
        <v/>
      </c>
      <c r="DT58" s="11" t="str">
        <f t="shared" si="76"/>
        <v/>
      </c>
      <c r="DU58" s="11" t="str">
        <f t="shared" si="76"/>
        <v/>
      </c>
      <c r="DV58" s="11" t="str">
        <f t="shared" si="76"/>
        <v/>
      </c>
      <c r="DW58" s="11" t="str">
        <f t="shared" si="77"/>
        <v/>
      </c>
      <c r="DX58" s="11" t="str">
        <f t="shared" si="77"/>
        <v/>
      </c>
      <c r="DY58" s="11" t="str">
        <f t="shared" si="77"/>
        <v/>
      </c>
      <c r="DZ58" s="11" t="str">
        <f t="shared" si="77"/>
        <v/>
      </c>
      <c r="EA58" s="11" t="str">
        <f t="shared" si="77"/>
        <v/>
      </c>
      <c r="EB58" s="11" t="str">
        <f t="shared" si="77"/>
        <v/>
      </c>
      <c r="EC58" s="11" t="str">
        <f t="shared" si="77"/>
        <v/>
      </c>
      <c r="ED58" s="11" t="str">
        <f t="shared" si="77"/>
        <v/>
      </c>
      <c r="EE58" s="11" t="str">
        <f t="shared" si="77"/>
        <v/>
      </c>
      <c r="EF58" s="11" t="str">
        <f t="shared" si="77"/>
        <v/>
      </c>
      <c r="EG58" s="11" t="str">
        <f t="shared" si="77"/>
        <v/>
      </c>
      <c r="EH58" s="11" t="str">
        <f t="shared" si="77"/>
        <v/>
      </c>
    </row>
    <row r="59" spans="1:138" ht="13.5" customHeight="1">
      <c r="A59" s="55"/>
      <c r="B59" s="55"/>
      <c r="C59" s="55"/>
      <c r="D59" s="12" t="s">
        <v>80</v>
      </c>
      <c r="E59" s="10">
        <v>46291</v>
      </c>
      <c r="F59" s="10">
        <v>46297</v>
      </c>
      <c r="G59" s="13" t="str">
        <f t="shared" si="65"/>
        <v/>
      </c>
      <c r="H59" s="13" t="str">
        <f t="shared" si="65"/>
        <v/>
      </c>
      <c r="I59" s="13" t="str">
        <f t="shared" si="65"/>
        <v/>
      </c>
      <c r="J59" s="13" t="str">
        <f t="shared" si="65"/>
        <v/>
      </c>
      <c r="K59" s="13" t="str">
        <f t="shared" si="65"/>
        <v/>
      </c>
      <c r="L59" s="13" t="str">
        <f t="shared" si="65"/>
        <v/>
      </c>
      <c r="M59" s="13" t="str">
        <f t="shared" si="65"/>
        <v/>
      </c>
      <c r="N59" s="13" t="str">
        <f t="shared" si="65"/>
        <v/>
      </c>
      <c r="O59" s="13" t="str">
        <f t="shared" si="65"/>
        <v/>
      </c>
      <c r="P59" s="13" t="str">
        <f t="shared" si="65"/>
        <v/>
      </c>
      <c r="Q59" s="13" t="str">
        <f t="shared" si="66"/>
        <v/>
      </c>
      <c r="R59" s="13" t="str">
        <f t="shared" si="66"/>
        <v/>
      </c>
      <c r="S59" s="13" t="str">
        <f t="shared" si="66"/>
        <v/>
      </c>
      <c r="T59" s="13" t="str">
        <f t="shared" si="66"/>
        <v/>
      </c>
      <c r="U59" s="13" t="str">
        <f t="shared" si="66"/>
        <v/>
      </c>
      <c r="V59" s="13" t="str">
        <f t="shared" si="66"/>
        <v/>
      </c>
      <c r="W59" s="13" t="str">
        <f t="shared" si="66"/>
        <v/>
      </c>
      <c r="X59" s="13" t="str">
        <f t="shared" si="66"/>
        <v/>
      </c>
      <c r="Y59" s="13" t="str">
        <f t="shared" si="66"/>
        <v/>
      </c>
      <c r="Z59" s="13" t="str">
        <f t="shared" si="66"/>
        <v/>
      </c>
      <c r="AA59" s="13" t="str">
        <f t="shared" si="67"/>
        <v/>
      </c>
      <c r="AB59" s="13" t="str">
        <f t="shared" si="67"/>
        <v/>
      </c>
      <c r="AC59" s="13" t="str">
        <f t="shared" si="67"/>
        <v/>
      </c>
      <c r="AD59" s="13" t="str">
        <f t="shared" si="67"/>
        <v/>
      </c>
      <c r="AE59" s="13" t="str">
        <f t="shared" si="67"/>
        <v/>
      </c>
      <c r="AF59" s="13" t="str">
        <f t="shared" si="67"/>
        <v/>
      </c>
      <c r="AG59" s="13" t="str">
        <f t="shared" si="67"/>
        <v/>
      </c>
      <c r="AH59" s="13" t="str">
        <f t="shared" si="67"/>
        <v/>
      </c>
      <c r="AI59" s="13" t="str">
        <f t="shared" si="67"/>
        <v/>
      </c>
      <c r="AJ59" s="13" t="str">
        <f t="shared" si="67"/>
        <v/>
      </c>
      <c r="AK59" s="13" t="str">
        <f t="shared" si="68"/>
        <v/>
      </c>
      <c r="AL59" s="13" t="str">
        <f t="shared" si="68"/>
        <v/>
      </c>
      <c r="AM59" s="13" t="str">
        <f t="shared" si="68"/>
        <v/>
      </c>
      <c r="AN59" s="13" t="str">
        <f t="shared" si="68"/>
        <v/>
      </c>
      <c r="AO59" s="13" t="str">
        <f t="shared" si="68"/>
        <v/>
      </c>
      <c r="AP59" s="13" t="str">
        <f t="shared" si="68"/>
        <v/>
      </c>
      <c r="AQ59" s="13" t="str">
        <f t="shared" si="68"/>
        <v/>
      </c>
      <c r="AR59" s="13" t="str">
        <f t="shared" si="68"/>
        <v/>
      </c>
      <c r="AS59" s="13" t="str">
        <f t="shared" si="68"/>
        <v/>
      </c>
      <c r="AT59" s="13" t="str">
        <f t="shared" si="68"/>
        <v/>
      </c>
      <c r="AU59" s="13" t="str">
        <f t="shared" si="69"/>
        <v/>
      </c>
      <c r="AV59" s="13" t="str">
        <f t="shared" si="69"/>
        <v/>
      </c>
      <c r="AW59" s="13" t="str">
        <f t="shared" si="69"/>
        <v/>
      </c>
      <c r="AX59" s="13" t="str">
        <f t="shared" si="69"/>
        <v/>
      </c>
      <c r="AY59" s="13" t="str">
        <f t="shared" si="69"/>
        <v/>
      </c>
      <c r="AZ59" s="13" t="str">
        <f t="shared" si="69"/>
        <v/>
      </c>
      <c r="BA59" s="13" t="str">
        <f t="shared" si="69"/>
        <v/>
      </c>
      <c r="BB59" s="13" t="str">
        <f t="shared" si="69"/>
        <v/>
      </c>
      <c r="BC59" s="13" t="str">
        <f t="shared" si="69"/>
        <v/>
      </c>
      <c r="BD59" s="13" t="str">
        <f t="shared" si="69"/>
        <v/>
      </c>
      <c r="BE59" s="13" t="str">
        <f t="shared" si="70"/>
        <v/>
      </c>
      <c r="BF59" s="13" t="str">
        <f t="shared" si="70"/>
        <v/>
      </c>
      <c r="BG59" s="13" t="str">
        <f t="shared" si="70"/>
        <v/>
      </c>
      <c r="BH59" s="13" t="str">
        <f t="shared" si="70"/>
        <v/>
      </c>
      <c r="BI59" s="13" t="str">
        <f t="shared" si="70"/>
        <v/>
      </c>
      <c r="BJ59" s="13" t="str">
        <f t="shared" si="70"/>
        <v/>
      </c>
      <c r="BK59" s="13" t="str">
        <f t="shared" si="70"/>
        <v>▪</v>
      </c>
      <c r="BL59" s="13" t="str">
        <f t="shared" si="70"/>
        <v>▪</v>
      </c>
      <c r="BM59" s="13" t="str">
        <f t="shared" si="70"/>
        <v>▪</v>
      </c>
      <c r="BN59" s="13" t="str">
        <f t="shared" si="70"/>
        <v>▪</v>
      </c>
      <c r="BO59" s="13" t="str">
        <f t="shared" si="71"/>
        <v>▪</v>
      </c>
      <c r="BP59" s="13" t="str">
        <f t="shared" si="71"/>
        <v>▪</v>
      </c>
      <c r="BQ59" s="13" t="str">
        <f t="shared" si="71"/>
        <v>▪</v>
      </c>
      <c r="BR59" s="13" t="str">
        <f t="shared" si="71"/>
        <v/>
      </c>
      <c r="BS59" s="13" t="str">
        <f t="shared" si="71"/>
        <v/>
      </c>
      <c r="BT59" s="13" t="str">
        <f t="shared" si="71"/>
        <v/>
      </c>
      <c r="BU59" s="13" t="str">
        <f t="shared" si="71"/>
        <v/>
      </c>
      <c r="BV59" s="13" t="str">
        <f t="shared" si="71"/>
        <v/>
      </c>
      <c r="BW59" s="13" t="str">
        <f t="shared" si="71"/>
        <v/>
      </c>
      <c r="BX59" s="13" t="str">
        <f t="shared" si="71"/>
        <v/>
      </c>
      <c r="BY59" s="13" t="str">
        <f t="shared" si="72"/>
        <v/>
      </c>
      <c r="BZ59" s="13" t="str">
        <f t="shared" si="72"/>
        <v/>
      </c>
      <c r="CA59" s="13" t="str">
        <f t="shared" si="72"/>
        <v/>
      </c>
      <c r="CB59" s="13" t="str">
        <f t="shared" si="72"/>
        <v/>
      </c>
      <c r="CC59" s="13" t="str">
        <f t="shared" si="72"/>
        <v/>
      </c>
      <c r="CD59" s="13" t="str">
        <f t="shared" si="72"/>
        <v/>
      </c>
      <c r="CE59" s="13" t="str">
        <f t="shared" si="72"/>
        <v/>
      </c>
      <c r="CF59" s="13" t="str">
        <f t="shared" si="72"/>
        <v/>
      </c>
      <c r="CG59" s="13" t="str">
        <f t="shared" si="72"/>
        <v/>
      </c>
      <c r="CH59" s="13" t="str">
        <f t="shared" si="72"/>
        <v/>
      </c>
      <c r="CI59" s="13" t="str">
        <f t="shared" si="73"/>
        <v/>
      </c>
      <c r="CJ59" s="13" t="str">
        <f t="shared" si="73"/>
        <v/>
      </c>
      <c r="CK59" s="13" t="str">
        <f t="shared" si="73"/>
        <v/>
      </c>
      <c r="CL59" s="13" t="str">
        <f t="shared" si="73"/>
        <v/>
      </c>
      <c r="CM59" s="13" t="str">
        <f t="shared" si="73"/>
        <v/>
      </c>
      <c r="CN59" s="13" t="str">
        <f t="shared" si="73"/>
        <v/>
      </c>
      <c r="CO59" s="13" t="str">
        <f t="shared" si="73"/>
        <v/>
      </c>
      <c r="CP59" s="13" t="str">
        <f t="shared" si="73"/>
        <v/>
      </c>
      <c r="CQ59" s="13" t="str">
        <f t="shared" si="73"/>
        <v/>
      </c>
      <c r="CR59" s="13" t="str">
        <f t="shared" si="73"/>
        <v/>
      </c>
      <c r="CS59" s="13" t="str">
        <f t="shared" si="74"/>
        <v/>
      </c>
      <c r="CT59" s="13" t="str">
        <f t="shared" si="74"/>
        <v/>
      </c>
      <c r="CU59" s="13" t="str">
        <f t="shared" si="74"/>
        <v/>
      </c>
      <c r="CV59" s="13" t="str">
        <f t="shared" si="74"/>
        <v/>
      </c>
      <c r="CW59" s="13" t="str">
        <f t="shared" si="74"/>
        <v/>
      </c>
      <c r="CX59" s="13" t="str">
        <f t="shared" si="74"/>
        <v/>
      </c>
      <c r="CY59" s="13" t="str">
        <f t="shared" si="74"/>
        <v/>
      </c>
      <c r="CZ59" s="13" t="str">
        <f t="shared" si="74"/>
        <v/>
      </c>
      <c r="DA59" s="13" t="str">
        <f t="shared" si="74"/>
        <v/>
      </c>
      <c r="DB59" s="13" t="str">
        <f t="shared" si="74"/>
        <v/>
      </c>
      <c r="DC59" s="13" t="str">
        <f t="shared" si="75"/>
        <v/>
      </c>
      <c r="DD59" s="13" t="str">
        <f t="shared" si="75"/>
        <v/>
      </c>
      <c r="DE59" s="13" t="str">
        <f t="shared" si="75"/>
        <v/>
      </c>
      <c r="DF59" s="13" t="str">
        <f t="shared" si="75"/>
        <v/>
      </c>
      <c r="DG59" s="13" t="str">
        <f t="shared" si="75"/>
        <v/>
      </c>
      <c r="DH59" s="13" t="str">
        <f t="shared" si="75"/>
        <v/>
      </c>
      <c r="DI59" s="13" t="str">
        <f t="shared" si="75"/>
        <v/>
      </c>
      <c r="DJ59" s="13" t="str">
        <f t="shared" si="75"/>
        <v/>
      </c>
      <c r="DK59" s="13" t="str">
        <f t="shared" si="75"/>
        <v/>
      </c>
      <c r="DL59" s="13" t="str">
        <f t="shared" si="75"/>
        <v/>
      </c>
      <c r="DM59" s="13" t="str">
        <f t="shared" si="76"/>
        <v/>
      </c>
      <c r="DN59" s="13" t="str">
        <f t="shared" si="76"/>
        <v/>
      </c>
      <c r="DO59" s="13" t="str">
        <f t="shared" si="76"/>
        <v/>
      </c>
      <c r="DP59" s="13" t="str">
        <f t="shared" si="76"/>
        <v/>
      </c>
      <c r="DQ59" s="13" t="str">
        <f t="shared" si="76"/>
        <v/>
      </c>
      <c r="DR59" s="13" t="str">
        <f t="shared" si="76"/>
        <v/>
      </c>
      <c r="DS59" s="13" t="str">
        <f t="shared" si="76"/>
        <v/>
      </c>
      <c r="DT59" s="13" t="str">
        <f t="shared" si="76"/>
        <v/>
      </c>
      <c r="DU59" s="13" t="str">
        <f t="shared" si="76"/>
        <v/>
      </c>
      <c r="DV59" s="13" t="str">
        <f t="shared" si="76"/>
        <v/>
      </c>
      <c r="DW59" s="13" t="str">
        <f t="shared" si="77"/>
        <v/>
      </c>
      <c r="DX59" s="13" t="str">
        <f t="shared" si="77"/>
        <v/>
      </c>
      <c r="DY59" s="13" t="str">
        <f t="shared" si="77"/>
        <v/>
      </c>
      <c r="DZ59" s="13" t="str">
        <f t="shared" si="77"/>
        <v/>
      </c>
      <c r="EA59" s="13" t="str">
        <f t="shared" si="77"/>
        <v/>
      </c>
      <c r="EB59" s="13" t="str">
        <f t="shared" si="77"/>
        <v/>
      </c>
      <c r="EC59" s="13" t="str">
        <f t="shared" si="77"/>
        <v/>
      </c>
      <c r="ED59" s="13" t="str">
        <f t="shared" si="77"/>
        <v/>
      </c>
      <c r="EE59" s="13" t="str">
        <f t="shared" si="77"/>
        <v/>
      </c>
      <c r="EF59" s="13" t="str">
        <f t="shared" si="77"/>
        <v/>
      </c>
      <c r="EG59" s="13" t="str">
        <f t="shared" si="77"/>
        <v/>
      </c>
      <c r="EH59" s="13" t="str">
        <f t="shared" si="77"/>
        <v/>
      </c>
    </row>
    <row r="60" spans="1:138" ht="13.5" customHeight="1">
      <c r="A60" s="55" t="s">
        <v>140</v>
      </c>
      <c r="B60" s="56" t="s">
        <v>141</v>
      </c>
      <c r="C60" s="57" t="s">
        <v>137</v>
      </c>
      <c r="D60" s="9" t="s">
        <v>79</v>
      </c>
      <c r="E60" s="10">
        <v>46300</v>
      </c>
      <c r="F60" s="10">
        <v>46301</v>
      </c>
      <c r="G60" s="11" t="str">
        <f t="shared" si="65"/>
        <v/>
      </c>
      <c r="H60" s="11" t="str">
        <f t="shared" si="65"/>
        <v/>
      </c>
      <c r="I60" s="11" t="str">
        <f t="shared" si="65"/>
        <v/>
      </c>
      <c r="J60" s="11" t="str">
        <f t="shared" si="65"/>
        <v/>
      </c>
      <c r="K60" s="11" t="str">
        <f t="shared" si="65"/>
        <v/>
      </c>
      <c r="L60" s="11" t="str">
        <f t="shared" si="65"/>
        <v/>
      </c>
      <c r="M60" s="11" t="str">
        <f t="shared" si="65"/>
        <v/>
      </c>
      <c r="N60" s="11" t="str">
        <f t="shared" si="65"/>
        <v/>
      </c>
      <c r="O60" s="11" t="str">
        <f t="shared" si="65"/>
        <v/>
      </c>
      <c r="P60" s="11" t="str">
        <f t="shared" si="65"/>
        <v/>
      </c>
      <c r="Q60" s="11" t="str">
        <f t="shared" si="66"/>
        <v/>
      </c>
      <c r="R60" s="11" t="str">
        <f t="shared" si="66"/>
        <v/>
      </c>
      <c r="S60" s="11" t="str">
        <f t="shared" si="66"/>
        <v/>
      </c>
      <c r="T60" s="11" t="str">
        <f t="shared" si="66"/>
        <v/>
      </c>
      <c r="U60" s="11" t="str">
        <f t="shared" si="66"/>
        <v/>
      </c>
      <c r="V60" s="11" t="str">
        <f t="shared" si="66"/>
        <v/>
      </c>
      <c r="W60" s="11" t="str">
        <f t="shared" si="66"/>
        <v/>
      </c>
      <c r="X60" s="11" t="str">
        <f t="shared" si="66"/>
        <v/>
      </c>
      <c r="Y60" s="11" t="str">
        <f t="shared" si="66"/>
        <v/>
      </c>
      <c r="Z60" s="11" t="str">
        <f t="shared" si="66"/>
        <v/>
      </c>
      <c r="AA60" s="11" t="str">
        <f t="shared" si="67"/>
        <v/>
      </c>
      <c r="AB60" s="11" t="str">
        <f t="shared" si="67"/>
        <v/>
      </c>
      <c r="AC60" s="11" t="str">
        <f t="shared" si="67"/>
        <v/>
      </c>
      <c r="AD60" s="11" t="str">
        <f t="shared" si="67"/>
        <v/>
      </c>
      <c r="AE60" s="11" t="str">
        <f t="shared" si="67"/>
        <v/>
      </c>
      <c r="AF60" s="11" t="str">
        <f t="shared" si="67"/>
        <v/>
      </c>
      <c r="AG60" s="11" t="str">
        <f t="shared" si="67"/>
        <v/>
      </c>
      <c r="AH60" s="11" t="str">
        <f t="shared" si="67"/>
        <v/>
      </c>
      <c r="AI60" s="11" t="str">
        <f t="shared" si="67"/>
        <v/>
      </c>
      <c r="AJ60" s="11" t="str">
        <f t="shared" si="67"/>
        <v/>
      </c>
      <c r="AK60" s="11" t="str">
        <f t="shared" si="68"/>
        <v/>
      </c>
      <c r="AL60" s="11" t="str">
        <f t="shared" si="68"/>
        <v/>
      </c>
      <c r="AM60" s="11" t="str">
        <f t="shared" si="68"/>
        <v/>
      </c>
      <c r="AN60" s="11" t="str">
        <f t="shared" si="68"/>
        <v/>
      </c>
      <c r="AO60" s="11" t="str">
        <f t="shared" si="68"/>
        <v/>
      </c>
      <c r="AP60" s="11" t="str">
        <f t="shared" si="68"/>
        <v/>
      </c>
      <c r="AQ60" s="11" t="str">
        <f t="shared" si="68"/>
        <v/>
      </c>
      <c r="AR60" s="11" t="str">
        <f t="shared" si="68"/>
        <v/>
      </c>
      <c r="AS60" s="11" t="str">
        <f t="shared" si="68"/>
        <v/>
      </c>
      <c r="AT60" s="11" t="str">
        <f t="shared" si="68"/>
        <v/>
      </c>
      <c r="AU60" s="11" t="str">
        <f t="shared" si="69"/>
        <v/>
      </c>
      <c r="AV60" s="11" t="str">
        <f t="shared" si="69"/>
        <v/>
      </c>
      <c r="AW60" s="11" t="str">
        <f t="shared" si="69"/>
        <v/>
      </c>
      <c r="AX60" s="11" t="str">
        <f t="shared" si="69"/>
        <v/>
      </c>
      <c r="AY60" s="11" t="str">
        <f t="shared" si="69"/>
        <v/>
      </c>
      <c r="AZ60" s="11" t="str">
        <f t="shared" si="69"/>
        <v/>
      </c>
      <c r="BA60" s="11" t="str">
        <f t="shared" si="69"/>
        <v/>
      </c>
      <c r="BB60" s="11" t="str">
        <f t="shared" si="69"/>
        <v/>
      </c>
      <c r="BC60" s="11" t="str">
        <f t="shared" si="69"/>
        <v/>
      </c>
      <c r="BD60" s="11" t="str">
        <f t="shared" si="69"/>
        <v/>
      </c>
      <c r="BE60" s="11" t="str">
        <f t="shared" si="70"/>
        <v/>
      </c>
      <c r="BF60" s="11" t="str">
        <f t="shared" si="70"/>
        <v/>
      </c>
      <c r="BG60" s="11" t="str">
        <f t="shared" si="70"/>
        <v/>
      </c>
      <c r="BH60" s="11" t="str">
        <f t="shared" si="70"/>
        <v/>
      </c>
      <c r="BI60" s="11" t="str">
        <f t="shared" si="70"/>
        <v/>
      </c>
      <c r="BJ60" s="11" t="str">
        <f t="shared" si="70"/>
        <v/>
      </c>
      <c r="BK60" s="11" t="str">
        <f t="shared" si="70"/>
        <v/>
      </c>
      <c r="BL60" s="11" t="str">
        <f t="shared" si="70"/>
        <v/>
      </c>
      <c r="BM60" s="11" t="str">
        <f t="shared" si="70"/>
        <v/>
      </c>
      <c r="BN60" s="11" t="str">
        <f t="shared" si="70"/>
        <v/>
      </c>
      <c r="BO60" s="11" t="str">
        <f t="shared" si="71"/>
        <v/>
      </c>
      <c r="BP60" s="11" t="str">
        <f t="shared" si="71"/>
        <v/>
      </c>
      <c r="BQ60" s="11" t="str">
        <f t="shared" si="71"/>
        <v/>
      </c>
      <c r="BR60" s="11" t="str">
        <f t="shared" si="71"/>
        <v/>
      </c>
      <c r="BS60" s="11" t="str">
        <f t="shared" si="71"/>
        <v/>
      </c>
      <c r="BT60" s="11" t="str">
        <f t="shared" si="71"/>
        <v>▪</v>
      </c>
      <c r="BU60" s="11" t="str">
        <f t="shared" si="71"/>
        <v>▪</v>
      </c>
      <c r="BV60" s="11" t="str">
        <f t="shared" si="71"/>
        <v/>
      </c>
      <c r="BW60" s="11" t="str">
        <f t="shared" si="71"/>
        <v/>
      </c>
      <c r="BX60" s="11" t="str">
        <f t="shared" si="71"/>
        <v/>
      </c>
      <c r="BY60" s="11" t="str">
        <f t="shared" si="72"/>
        <v/>
      </c>
      <c r="BZ60" s="11" t="str">
        <f t="shared" si="72"/>
        <v/>
      </c>
      <c r="CA60" s="11" t="str">
        <f t="shared" si="72"/>
        <v/>
      </c>
      <c r="CB60" s="11" t="str">
        <f t="shared" si="72"/>
        <v/>
      </c>
      <c r="CC60" s="11" t="str">
        <f t="shared" si="72"/>
        <v/>
      </c>
      <c r="CD60" s="11" t="str">
        <f t="shared" si="72"/>
        <v/>
      </c>
      <c r="CE60" s="11" t="str">
        <f t="shared" si="72"/>
        <v/>
      </c>
      <c r="CF60" s="11" t="str">
        <f t="shared" si="72"/>
        <v/>
      </c>
      <c r="CG60" s="11" t="str">
        <f t="shared" si="72"/>
        <v/>
      </c>
      <c r="CH60" s="11" t="str">
        <f t="shared" si="72"/>
        <v/>
      </c>
      <c r="CI60" s="11" t="str">
        <f t="shared" si="73"/>
        <v/>
      </c>
      <c r="CJ60" s="11" t="str">
        <f t="shared" si="73"/>
        <v/>
      </c>
      <c r="CK60" s="11" t="str">
        <f t="shared" si="73"/>
        <v/>
      </c>
      <c r="CL60" s="11" t="str">
        <f t="shared" si="73"/>
        <v/>
      </c>
      <c r="CM60" s="11" t="str">
        <f t="shared" si="73"/>
        <v/>
      </c>
      <c r="CN60" s="11" t="str">
        <f t="shared" si="73"/>
        <v/>
      </c>
      <c r="CO60" s="11" t="str">
        <f t="shared" si="73"/>
        <v/>
      </c>
      <c r="CP60" s="11" t="str">
        <f t="shared" si="73"/>
        <v/>
      </c>
      <c r="CQ60" s="11" t="str">
        <f t="shared" si="73"/>
        <v/>
      </c>
      <c r="CR60" s="11" t="str">
        <f t="shared" si="73"/>
        <v/>
      </c>
      <c r="CS60" s="11" t="str">
        <f t="shared" si="74"/>
        <v/>
      </c>
      <c r="CT60" s="11" t="str">
        <f t="shared" si="74"/>
        <v/>
      </c>
      <c r="CU60" s="11" t="str">
        <f t="shared" si="74"/>
        <v/>
      </c>
      <c r="CV60" s="11" t="str">
        <f t="shared" si="74"/>
        <v/>
      </c>
      <c r="CW60" s="11" t="str">
        <f t="shared" si="74"/>
        <v/>
      </c>
      <c r="CX60" s="11" t="str">
        <f t="shared" si="74"/>
        <v/>
      </c>
      <c r="CY60" s="11" t="str">
        <f t="shared" si="74"/>
        <v/>
      </c>
      <c r="CZ60" s="11" t="str">
        <f t="shared" si="74"/>
        <v/>
      </c>
      <c r="DA60" s="11" t="str">
        <f t="shared" si="74"/>
        <v/>
      </c>
      <c r="DB60" s="11" t="str">
        <f t="shared" si="74"/>
        <v/>
      </c>
      <c r="DC60" s="11" t="str">
        <f t="shared" si="75"/>
        <v/>
      </c>
      <c r="DD60" s="11" t="str">
        <f t="shared" si="75"/>
        <v/>
      </c>
      <c r="DE60" s="11" t="str">
        <f t="shared" si="75"/>
        <v/>
      </c>
      <c r="DF60" s="11" t="str">
        <f t="shared" si="75"/>
        <v/>
      </c>
      <c r="DG60" s="11" t="str">
        <f t="shared" si="75"/>
        <v/>
      </c>
      <c r="DH60" s="11" t="str">
        <f t="shared" si="75"/>
        <v/>
      </c>
      <c r="DI60" s="11" t="str">
        <f t="shared" si="75"/>
        <v/>
      </c>
      <c r="DJ60" s="11" t="str">
        <f t="shared" si="75"/>
        <v/>
      </c>
      <c r="DK60" s="11" t="str">
        <f t="shared" si="75"/>
        <v/>
      </c>
      <c r="DL60" s="11" t="str">
        <f t="shared" si="75"/>
        <v/>
      </c>
      <c r="DM60" s="11" t="str">
        <f t="shared" si="76"/>
        <v/>
      </c>
      <c r="DN60" s="11" t="str">
        <f t="shared" si="76"/>
        <v/>
      </c>
      <c r="DO60" s="11" t="str">
        <f t="shared" si="76"/>
        <v/>
      </c>
      <c r="DP60" s="11" t="str">
        <f t="shared" si="76"/>
        <v/>
      </c>
      <c r="DQ60" s="11" t="str">
        <f t="shared" si="76"/>
        <v/>
      </c>
      <c r="DR60" s="11" t="str">
        <f t="shared" si="76"/>
        <v/>
      </c>
      <c r="DS60" s="11" t="str">
        <f t="shared" si="76"/>
        <v/>
      </c>
      <c r="DT60" s="11" t="str">
        <f t="shared" si="76"/>
        <v/>
      </c>
      <c r="DU60" s="11" t="str">
        <f t="shared" si="76"/>
        <v/>
      </c>
      <c r="DV60" s="11" t="str">
        <f t="shared" si="76"/>
        <v/>
      </c>
      <c r="DW60" s="11" t="str">
        <f t="shared" si="77"/>
        <v/>
      </c>
      <c r="DX60" s="11" t="str">
        <f t="shared" si="77"/>
        <v/>
      </c>
      <c r="DY60" s="11" t="str">
        <f t="shared" si="77"/>
        <v/>
      </c>
      <c r="DZ60" s="11" t="str">
        <f t="shared" si="77"/>
        <v/>
      </c>
      <c r="EA60" s="11" t="str">
        <f t="shared" si="77"/>
        <v/>
      </c>
      <c r="EB60" s="11" t="str">
        <f t="shared" si="77"/>
        <v/>
      </c>
      <c r="EC60" s="11" t="str">
        <f t="shared" si="77"/>
        <v/>
      </c>
      <c r="ED60" s="11" t="str">
        <f t="shared" si="77"/>
        <v/>
      </c>
      <c r="EE60" s="11" t="str">
        <f t="shared" si="77"/>
        <v/>
      </c>
      <c r="EF60" s="11" t="str">
        <f t="shared" si="77"/>
        <v/>
      </c>
      <c r="EG60" s="11" t="str">
        <f t="shared" si="77"/>
        <v/>
      </c>
      <c r="EH60" s="11" t="str">
        <f t="shared" si="77"/>
        <v/>
      </c>
    </row>
    <row r="61" spans="1:138" ht="13.5" customHeight="1">
      <c r="A61" s="55"/>
      <c r="B61" s="55"/>
      <c r="C61" s="55"/>
      <c r="D61" s="12" t="s">
        <v>80</v>
      </c>
      <c r="E61" s="10">
        <v>46284</v>
      </c>
      <c r="F61" s="10">
        <v>46290</v>
      </c>
      <c r="G61" s="13" t="str">
        <f t="shared" si="65"/>
        <v/>
      </c>
      <c r="H61" s="13" t="str">
        <f t="shared" si="65"/>
        <v/>
      </c>
      <c r="I61" s="13" t="str">
        <f t="shared" si="65"/>
        <v/>
      </c>
      <c r="J61" s="13" t="str">
        <f t="shared" si="65"/>
        <v/>
      </c>
      <c r="K61" s="13" t="str">
        <f t="shared" si="65"/>
        <v/>
      </c>
      <c r="L61" s="13" t="str">
        <f t="shared" si="65"/>
        <v/>
      </c>
      <c r="M61" s="13" t="str">
        <f t="shared" si="65"/>
        <v/>
      </c>
      <c r="N61" s="13" t="str">
        <f t="shared" si="65"/>
        <v/>
      </c>
      <c r="O61" s="13" t="str">
        <f t="shared" si="65"/>
        <v/>
      </c>
      <c r="P61" s="13" t="str">
        <f t="shared" si="65"/>
        <v/>
      </c>
      <c r="Q61" s="13" t="str">
        <f t="shared" si="66"/>
        <v/>
      </c>
      <c r="R61" s="13" t="str">
        <f t="shared" si="66"/>
        <v/>
      </c>
      <c r="S61" s="13" t="str">
        <f t="shared" si="66"/>
        <v/>
      </c>
      <c r="T61" s="13" t="str">
        <f t="shared" si="66"/>
        <v/>
      </c>
      <c r="U61" s="13" t="str">
        <f t="shared" si="66"/>
        <v/>
      </c>
      <c r="V61" s="13" t="str">
        <f t="shared" si="66"/>
        <v/>
      </c>
      <c r="W61" s="13" t="str">
        <f t="shared" si="66"/>
        <v/>
      </c>
      <c r="X61" s="13" t="str">
        <f t="shared" si="66"/>
        <v/>
      </c>
      <c r="Y61" s="13" t="str">
        <f t="shared" si="66"/>
        <v/>
      </c>
      <c r="Z61" s="13" t="str">
        <f t="shared" si="66"/>
        <v/>
      </c>
      <c r="AA61" s="13" t="str">
        <f t="shared" si="67"/>
        <v/>
      </c>
      <c r="AB61" s="13" t="str">
        <f t="shared" si="67"/>
        <v/>
      </c>
      <c r="AC61" s="13" t="str">
        <f t="shared" si="67"/>
        <v/>
      </c>
      <c r="AD61" s="13" t="str">
        <f t="shared" si="67"/>
        <v/>
      </c>
      <c r="AE61" s="13" t="str">
        <f t="shared" si="67"/>
        <v/>
      </c>
      <c r="AF61" s="13" t="str">
        <f t="shared" si="67"/>
        <v/>
      </c>
      <c r="AG61" s="13" t="str">
        <f t="shared" si="67"/>
        <v/>
      </c>
      <c r="AH61" s="13" t="str">
        <f t="shared" si="67"/>
        <v/>
      </c>
      <c r="AI61" s="13" t="str">
        <f t="shared" si="67"/>
        <v/>
      </c>
      <c r="AJ61" s="13" t="str">
        <f t="shared" si="67"/>
        <v/>
      </c>
      <c r="AK61" s="13" t="str">
        <f t="shared" si="68"/>
        <v/>
      </c>
      <c r="AL61" s="13" t="str">
        <f t="shared" si="68"/>
        <v/>
      </c>
      <c r="AM61" s="13" t="str">
        <f t="shared" si="68"/>
        <v/>
      </c>
      <c r="AN61" s="13" t="str">
        <f t="shared" si="68"/>
        <v/>
      </c>
      <c r="AO61" s="13" t="str">
        <f t="shared" si="68"/>
        <v/>
      </c>
      <c r="AP61" s="13" t="str">
        <f t="shared" si="68"/>
        <v/>
      </c>
      <c r="AQ61" s="13" t="str">
        <f t="shared" si="68"/>
        <v/>
      </c>
      <c r="AR61" s="13" t="str">
        <f t="shared" si="68"/>
        <v/>
      </c>
      <c r="AS61" s="13" t="str">
        <f t="shared" si="68"/>
        <v/>
      </c>
      <c r="AT61" s="13" t="str">
        <f t="shared" si="68"/>
        <v/>
      </c>
      <c r="AU61" s="13" t="str">
        <f t="shared" si="69"/>
        <v/>
      </c>
      <c r="AV61" s="13" t="str">
        <f t="shared" si="69"/>
        <v/>
      </c>
      <c r="AW61" s="13" t="str">
        <f t="shared" si="69"/>
        <v/>
      </c>
      <c r="AX61" s="13" t="str">
        <f t="shared" si="69"/>
        <v/>
      </c>
      <c r="AY61" s="13" t="str">
        <f t="shared" si="69"/>
        <v/>
      </c>
      <c r="AZ61" s="13" t="str">
        <f t="shared" si="69"/>
        <v/>
      </c>
      <c r="BA61" s="13" t="str">
        <f t="shared" si="69"/>
        <v/>
      </c>
      <c r="BB61" s="13" t="str">
        <f t="shared" si="69"/>
        <v/>
      </c>
      <c r="BC61" s="13" t="str">
        <f t="shared" si="69"/>
        <v/>
      </c>
      <c r="BD61" s="13" t="str">
        <f t="shared" si="69"/>
        <v>▪</v>
      </c>
      <c r="BE61" s="13" t="str">
        <f t="shared" si="70"/>
        <v>▪</v>
      </c>
      <c r="BF61" s="13" t="str">
        <f t="shared" si="70"/>
        <v>▪</v>
      </c>
      <c r="BG61" s="13" t="str">
        <f t="shared" si="70"/>
        <v>▪</v>
      </c>
      <c r="BH61" s="13" t="str">
        <f t="shared" si="70"/>
        <v>▪</v>
      </c>
      <c r="BI61" s="13" t="str">
        <f t="shared" si="70"/>
        <v>▪</v>
      </c>
      <c r="BJ61" s="13" t="str">
        <f t="shared" si="70"/>
        <v>▪</v>
      </c>
      <c r="BK61" s="13" t="str">
        <f t="shared" si="70"/>
        <v/>
      </c>
      <c r="BL61" s="13" t="str">
        <f t="shared" si="70"/>
        <v/>
      </c>
      <c r="BM61" s="13" t="str">
        <f t="shared" si="70"/>
        <v/>
      </c>
      <c r="BN61" s="13" t="str">
        <f t="shared" si="70"/>
        <v/>
      </c>
      <c r="BO61" s="13" t="str">
        <f t="shared" si="71"/>
        <v/>
      </c>
      <c r="BP61" s="13" t="str">
        <f t="shared" si="71"/>
        <v/>
      </c>
      <c r="BQ61" s="13" t="str">
        <f t="shared" si="71"/>
        <v/>
      </c>
      <c r="BR61" s="13" t="str">
        <f t="shared" si="71"/>
        <v/>
      </c>
      <c r="BS61" s="13" t="str">
        <f t="shared" si="71"/>
        <v/>
      </c>
      <c r="BT61" s="13" t="str">
        <f t="shared" si="71"/>
        <v/>
      </c>
      <c r="BU61" s="13" t="str">
        <f t="shared" si="71"/>
        <v/>
      </c>
      <c r="BV61" s="13" t="str">
        <f t="shared" si="71"/>
        <v/>
      </c>
      <c r="BW61" s="13" t="str">
        <f t="shared" si="71"/>
        <v/>
      </c>
      <c r="BX61" s="13" t="str">
        <f t="shared" si="71"/>
        <v/>
      </c>
      <c r="BY61" s="13" t="str">
        <f t="shared" si="72"/>
        <v/>
      </c>
      <c r="BZ61" s="13" t="str">
        <f t="shared" si="72"/>
        <v/>
      </c>
      <c r="CA61" s="13" t="str">
        <f t="shared" si="72"/>
        <v/>
      </c>
      <c r="CB61" s="13" t="str">
        <f t="shared" si="72"/>
        <v/>
      </c>
      <c r="CC61" s="13" t="str">
        <f t="shared" si="72"/>
        <v/>
      </c>
      <c r="CD61" s="13" t="str">
        <f t="shared" si="72"/>
        <v/>
      </c>
      <c r="CE61" s="13" t="str">
        <f t="shared" si="72"/>
        <v/>
      </c>
      <c r="CF61" s="13" t="str">
        <f t="shared" si="72"/>
        <v/>
      </c>
      <c r="CG61" s="13" t="str">
        <f t="shared" si="72"/>
        <v/>
      </c>
      <c r="CH61" s="13" t="str">
        <f t="shared" si="72"/>
        <v/>
      </c>
      <c r="CI61" s="13" t="str">
        <f t="shared" si="73"/>
        <v/>
      </c>
      <c r="CJ61" s="13" t="str">
        <f t="shared" si="73"/>
        <v/>
      </c>
      <c r="CK61" s="13" t="str">
        <f t="shared" si="73"/>
        <v/>
      </c>
      <c r="CL61" s="13" t="str">
        <f t="shared" si="73"/>
        <v/>
      </c>
      <c r="CM61" s="13" t="str">
        <f t="shared" si="73"/>
        <v/>
      </c>
      <c r="CN61" s="13" t="str">
        <f t="shared" si="73"/>
        <v/>
      </c>
      <c r="CO61" s="13" t="str">
        <f t="shared" si="73"/>
        <v/>
      </c>
      <c r="CP61" s="13" t="str">
        <f t="shared" si="73"/>
        <v/>
      </c>
      <c r="CQ61" s="13" t="str">
        <f t="shared" si="73"/>
        <v/>
      </c>
      <c r="CR61" s="13" t="str">
        <f t="shared" si="73"/>
        <v/>
      </c>
      <c r="CS61" s="13" t="str">
        <f t="shared" si="74"/>
        <v/>
      </c>
      <c r="CT61" s="13" t="str">
        <f t="shared" si="74"/>
        <v/>
      </c>
      <c r="CU61" s="13" t="str">
        <f t="shared" si="74"/>
        <v/>
      </c>
      <c r="CV61" s="13" t="str">
        <f t="shared" si="74"/>
        <v/>
      </c>
      <c r="CW61" s="13" t="str">
        <f t="shared" si="74"/>
        <v/>
      </c>
      <c r="CX61" s="13" t="str">
        <f t="shared" si="74"/>
        <v/>
      </c>
      <c r="CY61" s="13" t="str">
        <f t="shared" si="74"/>
        <v/>
      </c>
      <c r="CZ61" s="13" t="str">
        <f t="shared" si="74"/>
        <v/>
      </c>
      <c r="DA61" s="13" t="str">
        <f t="shared" si="74"/>
        <v/>
      </c>
      <c r="DB61" s="13" t="str">
        <f t="shared" si="74"/>
        <v/>
      </c>
      <c r="DC61" s="13" t="str">
        <f t="shared" si="75"/>
        <v/>
      </c>
      <c r="DD61" s="13" t="str">
        <f t="shared" si="75"/>
        <v/>
      </c>
      <c r="DE61" s="13" t="str">
        <f t="shared" si="75"/>
        <v/>
      </c>
      <c r="DF61" s="13" t="str">
        <f t="shared" si="75"/>
        <v/>
      </c>
      <c r="DG61" s="13" t="str">
        <f t="shared" si="75"/>
        <v/>
      </c>
      <c r="DH61" s="13" t="str">
        <f t="shared" si="75"/>
        <v/>
      </c>
      <c r="DI61" s="13" t="str">
        <f t="shared" si="75"/>
        <v/>
      </c>
      <c r="DJ61" s="13" t="str">
        <f t="shared" si="75"/>
        <v/>
      </c>
      <c r="DK61" s="13" t="str">
        <f t="shared" si="75"/>
        <v/>
      </c>
      <c r="DL61" s="13" t="str">
        <f t="shared" si="75"/>
        <v/>
      </c>
      <c r="DM61" s="13" t="str">
        <f t="shared" si="76"/>
        <v/>
      </c>
      <c r="DN61" s="13" t="str">
        <f t="shared" si="76"/>
        <v/>
      </c>
      <c r="DO61" s="13" t="str">
        <f t="shared" si="76"/>
        <v/>
      </c>
      <c r="DP61" s="13" t="str">
        <f t="shared" si="76"/>
        <v/>
      </c>
      <c r="DQ61" s="13" t="str">
        <f t="shared" si="76"/>
        <v/>
      </c>
      <c r="DR61" s="13" t="str">
        <f t="shared" si="76"/>
        <v/>
      </c>
      <c r="DS61" s="13" t="str">
        <f t="shared" si="76"/>
        <v/>
      </c>
      <c r="DT61" s="13" t="str">
        <f t="shared" si="76"/>
        <v/>
      </c>
      <c r="DU61" s="13" t="str">
        <f t="shared" si="76"/>
        <v/>
      </c>
      <c r="DV61" s="13" t="str">
        <f t="shared" si="76"/>
        <v/>
      </c>
      <c r="DW61" s="13" t="str">
        <f t="shared" si="77"/>
        <v/>
      </c>
      <c r="DX61" s="13" t="str">
        <f t="shared" si="77"/>
        <v/>
      </c>
      <c r="DY61" s="13" t="str">
        <f t="shared" si="77"/>
        <v/>
      </c>
      <c r="DZ61" s="13" t="str">
        <f t="shared" si="77"/>
        <v/>
      </c>
      <c r="EA61" s="13" t="str">
        <f t="shared" si="77"/>
        <v/>
      </c>
      <c r="EB61" s="13" t="str">
        <f t="shared" si="77"/>
        <v/>
      </c>
      <c r="EC61" s="13" t="str">
        <f t="shared" si="77"/>
        <v/>
      </c>
      <c r="ED61" s="13" t="str">
        <f t="shared" si="77"/>
        <v/>
      </c>
      <c r="EE61" s="13" t="str">
        <f t="shared" si="77"/>
        <v/>
      </c>
      <c r="EF61" s="13" t="str">
        <f t="shared" si="77"/>
        <v/>
      </c>
      <c r="EG61" s="13" t="str">
        <f t="shared" si="77"/>
        <v/>
      </c>
      <c r="EH61" s="13" t="str">
        <f t="shared" si="77"/>
        <v/>
      </c>
    </row>
    <row r="62" spans="1:138" ht="13.5" customHeight="1">
      <c r="A62" s="55" t="s">
        <v>142</v>
      </c>
      <c r="B62" s="56" t="s">
        <v>143</v>
      </c>
      <c r="C62" s="57" t="s">
        <v>137</v>
      </c>
      <c r="D62" s="9" t="s">
        <v>79</v>
      </c>
      <c r="E62" s="10">
        <v>46301</v>
      </c>
      <c r="F62" s="10">
        <v>46302</v>
      </c>
      <c r="G62" s="11" t="str">
        <f t="shared" si="65"/>
        <v/>
      </c>
      <c r="H62" s="11" t="str">
        <f t="shared" si="65"/>
        <v/>
      </c>
      <c r="I62" s="11" t="str">
        <f t="shared" si="65"/>
        <v/>
      </c>
      <c r="J62" s="11" t="str">
        <f t="shared" si="65"/>
        <v/>
      </c>
      <c r="K62" s="11" t="str">
        <f t="shared" si="65"/>
        <v/>
      </c>
      <c r="L62" s="11" t="str">
        <f t="shared" si="65"/>
        <v/>
      </c>
      <c r="M62" s="11" t="str">
        <f t="shared" si="65"/>
        <v/>
      </c>
      <c r="N62" s="11" t="str">
        <f t="shared" si="65"/>
        <v/>
      </c>
      <c r="O62" s="11" t="str">
        <f t="shared" si="65"/>
        <v/>
      </c>
      <c r="P62" s="11" t="str">
        <f t="shared" si="65"/>
        <v/>
      </c>
      <c r="Q62" s="11" t="str">
        <f t="shared" si="66"/>
        <v/>
      </c>
      <c r="R62" s="11" t="str">
        <f t="shared" si="66"/>
        <v/>
      </c>
      <c r="S62" s="11" t="str">
        <f t="shared" si="66"/>
        <v/>
      </c>
      <c r="T62" s="11" t="str">
        <f t="shared" si="66"/>
        <v/>
      </c>
      <c r="U62" s="11" t="str">
        <f t="shared" si="66"/>
        <v/>
      </c>
      <c r="V62" s="11" t="str">
        <f t="shared" si="66"/>
        <v/>
      </c>
      <c r="W62" s="11" t="str">
        <f t="shared" si="66"/>
        <v/>
      </c>
      <c r="X62" s="11" t="str">
        <f t="shared" si="66"/>
        <v/>
      </c>
      <c r="Y62" s="11" t="str">
        <f t="shared" si="66"/>
        <v/>
      </c>
      <c r="Z62" s="11" t="str">
        <f t="shared" si="66"/>
        <v/>
      </c>
      <c r="AA62" s="11" t="str">
        <f t="shared" si="67"/>
        <v/>
      </c>
      <c r="AB62" s="11" t="str">
        <f t="shared" si="67"/>
        <v/>
      </c>
      <c r="AC62" s="11" t="str">
        <f t="shared" si="67"/>
        <v/>
      </c>
      <c r="AD62" s="11" t="str">
        <f t="shared" si="67"/>
        <v/>
      </c>
      <c r="AE62" s="11" t="str">
        <f t="shared" si="67"/>
        <v/>
      </c>
      <c r="AF62" s="11" t="str">
        <f t="shared" si="67"/>
        <v/>
      </c>
      <c r="AG62" s="11" t="str">
        <f t="shared" si="67"/>
        <v/>
      </c>
      <c r="AH62" s="11" t="str">
        <f t="shared" si="67"/>
        <v/>
      </c>
      <c r="AI62" s="11" t="str">
        <f t="shared" si="67"/>
        <v/>
      </c>
      <c r="AJ62" s="11" t="str">
        <f t="shared" si="67"/>
        <v/>
      </c>
      <c r="AK62" s="11" t="str">
        <f t="shared" si="68"/>
        <v/>
      </c>
      <c r="AL62" s="11" t="str">
        <f t="shared" si="68"/>
        <v/>
      </c>
      <c r="AM62" s="11" t="str">
        <f t="shared" si="68"/>
        <v/>
      </c>
      <c r="AN62" s="11" t="str">
        <f t="shared" si="68"/>
        <v/>
      </c>
      <c r="AO62" s="11" t="str">
        <f t="shared" si="68"/>
        <v/>
      </c>
      <c r="AP62" s="11" t="str">
        <f t="shared" si="68"/>
        <v/>
      </c>
      <c r="AQ62" s="11" t="str">
        <f t="shared" si="68"/>
        <v/>
      </c>
      <c r="AR62" s="11" t="str">
        <f t="shared" si="68"/>
        <v/>
      </c>
      <c r="AS62" s="11" t="str">
        <f t="shared" si="68"/>
        <v/>
      </c>
      <c r="AT62" s="11" t="str">
        <f t="shared" si="68"/>
        <v/>
      </c>
      <c r="AU62" s="11" t="str">
        <f t="shared" si="69"/>
        <v/>
      </c>
      <c r="AV62" s="11" t="str">
        <f t="shared" si="69"/>
        <v/>
      </c>
      <c r="AW62" s="11" t="str">
        <f t="shared" si="69"/>
        <v/>
      </c>
      <c r="AX62" s="11" t="str">
        <f t="shared" si="69"/>
        <v/>
      </c>
      <c r="AY62" s="11" t="str">
        <f t="shared" si="69"/>
        <v/>
      </c>
      <c r="AZ62" s="11" t="str">
        <f t="shared" si="69"/>
        <v/>
      </c>
      <c r="BA62" s="11" t="str">
        <f t="shared" si="69"/>
        <v/>
      </c>
      <c r="BB62" s="11" t="str">
        <f t="shared" si="69"/>
        <v/>
      </c>
      <c r="BC62" s="11" t="str">
        <f t="shared" si="69"/>
        <v/>
      </c>
      <c r="BD62" s="11" t="str">
        <f t="shared" si="69"/>
        <v/>
      </c>
      <c r="BE62" s="11" t="str">
        <f t="shared" si="70"/>
        <v/>
      </c>
      <c r="BF62" s="11" t="str">
        <f t="shared" si="70"/>
        <v/>
      </c>
      <c r="BG62" s="11" t="str">
        <f t="shared" si="70"/>
        <v/>
      </c>
      <c r="BH62" s="11" t="str">
        <f t="shared" si="70"/>
        <v/>
      </c>
      <c r="BI62" s="11" t="str">
        <f t="shared" si="70"/>
        <v/>
      </c>
      <c r="BJ62" s="11" t="str">
        <f t="shared" si="70"/>
        <v/>
      </c>
      <c r="BK62" s="11" t="str">
        <f t="shared" si="70"/>
        <v/>
      </c>
      <c r="BL62" s="11" t="str">
        <f t="shared" si="70"/>
        <v/>
      </c>
      <c r="BM62" s="11" t="str">
        <f t="shared" si="70"/>
        <v/>
      </c>
      <c r="BN62" s="11" t="str">
        <f t="shared" si="70"/>
        <v/>
      </c>
      <c r="BO62" s="11" t="str">
        <f t="shared" si="71"/>
        <v/>
      </c>
      <c r="BP62" s="11" t="str">
        <f t="shared" si="71"/>
        <v/>
      </c>
      <c r="BQ62" s="11" t="str">
        <f t="shared" si="71"/>
        <v/>
      </c>
      <c r="BR62" s="11" t="str">
        <f t="shared" si="71"/>
        <v/>
      </c>
      <c r="BS62" s="11" t="str">
        <f t="shared" si="71"/>
        <v/>
      </c>
      <c r="BT62" s="11" t="str">
        <f t="shared" si="71"/>
        <v/>
      </c>
      <c r="BU62" s="11" t="str">
        <f t="shared" si="71"/>
        <v>▪</v>
      </c>
      <c r="BV62" s="11" t="str">
        <f t="shared" si="71"/>
        <v>▪</v>
      </c>
      <c r="BW62" s="11" t="str">
        <f t="shared" si="71"/>
        <v/>
      </c>
      <c r="BX62" s="11" t="str">
        <f t="shared" si="71"/>
        <v/>
      </c>
      <c r="BY62" s="11" t="str">
        <f t="shared" si="72"/>
        <v/>
      </c>
      <c r="BZ62" s="11" t="str">
        <f t="shared" si="72"/>
        <v/>
      </c>
      <c r="CA62" s="11" t="str">
        <f t="shared" si="72"/>
        <v/>
      </c>
      <c r="CB62" s="11" t="str">
        <f t="shared" si="72"/>
        <v/>
      </c>
      <c r="CC62" s="11" t="str">
        <f t="shared" si="72"/>
        <v/>
      </c>
      <c r="CD62" s="11" t="str">
        <f t="shared" si="72"/>
        <v/>
      </c>
      <c r="CE62" s="11" t="str">
        <f t="shared" si="72"/>
        <v/>
      </c>
      <c r="CF62" s="11" t="str">
        <f t="shared" si="72"/>
        <v/>
      </c>
      <c r="CG62" s="11" t="str">
        <f t="shared" si="72"/>
        <v/>
      </c>
      <c r="CH62" s="11" t="str">
        <f t="shared" si="72"/>
        <v/>
      </c>
      <c r="CI62" s="11" t="str">
        <f t="shared" si="73"/>
        <v/>
      </c>
      <c r="CJ62" s="11" t="str">
        <f t="shared" si="73"/>
        <v/>
      </c>
      <c r="CK62" s="11" t="str">
        <f t="shared" si="73"/>
        <v/>
      </c>
      <c r="CL62" s="11" t="str">
        <f t="shared" si="73"/>
        <v/>
      </c>
      <c r="CM62" s="11" t="str">
        <f t="shared" si="73"/>
        <v/>
      </c>
      <c r="CN62" s="11" t="str">
        <f t="shared" si="73"/>
        <v/>
      </c>
      <c r="CO62" s="11" t="str">
        <f t="shared" si="73"/>
        <v/>
      </c>
      <c r="CP62" s="11" t="str">
        <f t="shared" si="73"/>
        <v/>
      </c>
      <c r="CQ62" s="11" t="str">
        <f t="shared" si="73"/>
        <v/>
      </c>
      <c r="CR62" s="11" t="str">
        <f t="shared" si="73"/>
        <v/>
      </c>
      <c r="CS62" s="11" t="str">
        <f t="shared" si="74"/>
        <v/>
      </c>
      <c r="CT62" s="11" t="str">
        <f t="shared" si="74"/>
        <v/>
      </c>
      <c r="CU62" s="11" t="str">
        <f t="shared" si="74"/>
        <v/>
      </c>
      <c r="CV62" s="11" t="str">
        <f t="shared" si="74"/>
        <v/>
      </c>
      <c r="CW62" s="11" t="str">
        <f t="shared" si="74"/>
        <v/>
      </c>
      <c r="CX62" s="11" t="str">
        <f t="shared" si="74"/>
        <v/>
      </c>
      <c r="CY62" s="11" t="str">
        <f t="shared" si="74"/>
        <v/>
      </c>
      <c r="CZ62" s="11" t="str">
        <f t="shared" si="74"/>
        <v/>
      </c>
      <c r="DA62" s="11" t="str">
        <f t="shared" si="74"/>
        <v/>
      </c>
      <c r="DB62" s="11" t="str">
        <f t="shared" si="74"/>
        <v/>
      </c>
      <c r="DC62" s="11" t="str">
        <f t="shared" si="75"/>
        <v/>
      </c>
      <c r="DD62" s="11" t="str">
        <f t="shared" si="75"/>
        <v/>
      </c>
      <c r="DE62" s="11" t="str">
        <f t="shared" si="75"/>
        <v/>
      </c>
      <c r="DF62" s="11" t="str">
        <f t="shared" si="75"/>
        <v/>
      </c>
      <c r="DG62" s="11" t="str">
        <f t="shared" si="75"/>
        <v/>
      </c>
      <c r="DH62" s="11" t="str">
        <f t="shared" si="75"/>
        <v/>
      </c>
      <c r="DI62" s="11" t="str">
        <f t="shared" si="75"/>
        <v/>
      </c>
      <c r="DJ62" s="11" t="str">
        <f t="shared" si="75"/>
        <v/>
      </c>
      <c r="DK62" s="11" t="str">
        <f t="shared" si="75"/>
        <v/>
      </c>
      <c r="DL62" s="11" t="str">
        <f t="shared" si="75"/>
        <v/>
      </c>
      <c r="DM62" s="11" t="str">
        <f t="shared" si="76"/>
        <v/>
      </c>
      <c r="DN62" s="11" t="str">
        <f t="shared" si="76"/>
        <v/>
      </c>
      <c r="DO62" s="11" t="str">
        <f t="shared" si="76"/>
        <v/>
      </c>
      <c r="DP62" s="11" t="str">
        <f t="shared" si="76"/>
        <v/>
      </c>
      <c r="DQ62" s="11" t="str">
        <f t="shared" si="76"/>
        <v/>
      </c>
      <c r="DR62" s="11" t="str">
        <f t="shared" si="76"/>
        <v/>
      </c>
      <c r="DS62" s="11" t="str">
        <f t="shared" si="76"/>
        <v/>
      </c>
      <c r="DT62" s="11" t="str">
        <f t="shared" si="76"/>
        <v/>
      </c>
      <c r="DU62" s="11" t="str">
        <f t="shared" si="76"/>
        <v/>
      </c>
      <c r="DV62" s="11" t="str">
        <f t="shared" si="76"/>
        <v/>
      </c>
      <c r="DW62" s="11" t="str">
        <f t="shared" si="77"/>
        <v/>
      </c>
      <c r="DX62" s="11" t="str">
        <f t="shared" si="77"/>
        <v/>
      </c>
      <c r="DY62" s="11" t="str">
        <f t="shared" si="77"/>
        <v/>
      </c>
      <c r="DZ62" s="11" t="str">
        <f t="shared" si="77"/>
        <v/>
      </c>
      <c r="EA62" s="11" t="str">
        <f t="shared" si="77"/>
        <v/>
      </c>
      <c r="EB62" s="11" t="str">
        <f t="shared" si="77"/>
        <v/>
      </c>
      <c r="EC62" s="11" t="str">
        <f t="shared" si="77"/>
        <v/>
      </c>
      <c r="ED62" s="11" t="str">
        <f t="shared" si="77"/>
        <v/>
      </c>
      <c r="EE62" s="11" t="str">
        <f t="shared" si="77"/>
        <v/>
      </c>
      <c r="EF62" s="11" t="str">
        <f t="shared" si="77"/>
        <v/>
      </c>
      <c r="EG62" s="11" t="str">
        <f t="shared" si="77"/>
        <v/>
      </c>
      <c r="EH62" s="11" t="str">
        <f t="shared" si="77"/>
        <v/>
      </c>
    </row>
    <row r="63" spans="1:138" ht="13.5" customHeight="1">
      <c r="A63" s="55"/>
      <c r="B63" s="55"/>
      <c r="C63" s="55"/>
      <c r="D63" s="12" t="s">
        <v>80</v>
      </c>
      <c r="E63" s="10">
        <v>46284</v>
      </c>
      <c r="F63" s="10">
        <v>46290</v>
      </c>
      <c r="G63" s="13" t="str">
        <f t="shared" si="65"/>
        <v/>
      </c>
      <c r="H63" s="13" t="str">
        <f t="shared" si="65"/>
        <v/>
      </c>
      <c r="I63" s="13" t="str">
        <f t="shared" si="65"/>
        <v/>
      </c>
      <c r="J63" s="13" t="str">
        <f t="shared" si="65"/>
        <v/>
      </c>
      <c r="K63" s="13" t="str">
        <f t="shared" si="65"/>
        <v/>
      </c>
      <c r="L63" s="13" t="str">
        <f t="shared" si="65"/>
        <v/>
      </c>
      <c r="M63" s="13" t="str">
        <f t="shared" si="65"/>
        <v/>
      </c>
      <c r="N63" s="13" t="str">
        <f t="shared" si="65"/>
        <v/>
      </c>
      <c r="O63" s="13" t="str">
        <f t="shared" si="65"/>
        <v/>
      </c>
      <c r="P63" s="13" t="str">
        <f t="shared" si="65"/>
        <v/>
      </c>
      <c r="Q63" s="13" t="str">
        <f t="shared" si="66"/>
        <v/>
      </c>
      <c r="R63" s="13" t="str">
        <f t="shared" si="66"/>
        <v/>
      </c>
      <c r="S63" s="13" t="str">
        <f t="shared" si="66"/>
        <v/>
      </c>
      <c r="T63" s="13" t="str">
        <f t="shared" si="66"/>
        <v/>
      </c>
      <c r="U63" s="13" t="str">
        <f t="shared" si="66"/>
        <v/>
      </c>
      <c r="V63" s="13" t="str">
        <f t="shared" si="66"/>
        <v/>
      </c>
      <c r="W63" s="13" t="str">
        <f t="shared" si="66"/>
        <v/>
      </c>
      <c r="X63" s="13" t="str">
        <f t="shared" si="66"/>
        <v/>
      </c>
      <c r="Y63" s="13" t="str">
        <f t="shared" si="66"/>
        <v/>
      </c>
      <c r="Z63" s="13" t="str">
        <f t="shared" si="66"/>
        <v/>
      </c>
      <c r="AA63" s="13" t="str">
        <f t="shared" si="67"/>
        <v/>
      </c>
      <c r="AB63" s="13" t="str">
        <f t="shared" si="67"/>
        <v/>
      </c>
      <c r="AC63" s="13" t="str">
        <f t="shared" si="67"/>
        <v/>
      </c>
      <c r="AD63" s="13" t="str">
        <f t="shared" si="67"/>
        <v/>
      </c>
      <c r="AE63" s="13" t="str">
        <f t="shared" si="67"/>
        <v/>
      </c>
      <c r="AF63" s="13" t="str">
        <f t="shared" si="67"/>
        <v/>
      </c>
      <c r="AG63" s="13" t="str">
        <f t="shared" si="67"/>
        <v/>
      </c>
      <c r="AH63" s="13" t="str">
        <f t="shared" si="67"/>
        <v/>
      </c>
      <c r="AI63" s="13" t="str">
        <f t="shared" si="67"/>
        <v/>
      </c>
      <c r="AJ63" s="13" t="str">
        <f t="shared" si="67"/>
        <v/>
      </c>
      <c r="AK63" s="13" t="str">
        <f t="shared" si="68"/>
        <v/>
      </c>
      <c r="AL63" s="13" t="str">
        <f t="shared" si="68"/>
        <v/>
      </c>
      <c r="AM63" s="13" t="str">
        <f t="shared" si="68"/>
        <v/>
      </c>
      <c r="AN63" s="13" t="str">
        <f t="shared" si="68"/>
        <v/>
      </c>
      <c r="AO63" s="13" t="str">
        <f t="shared" si="68"/>
        <v/>
      </c>
      <c r="AP63" s="13" t="str">
        <f t="shared" si="68"/>
        <v/>
      </c>
      <c r="AQ63" s="13" t="str">
        <f t="shared" si="68"/>
        <v/>
      </c>
      <c r="AR63" s="13" t="str">
        <f t="shared" si="68"/>
        <v/>
      </c>
      <c r="AS63" s="13" t="str">
        <f t="shared" si="68"/>
        <v/>
      </c>
      <c r="AT63" s="13" t="str">
        <f t="shared" si="68"/>
        <v/>
      </c>
      <c r="AU63" s="13" t="str">
        <f t="shared" si="69"/>
        <v/>
      </c>
      <c r="AV63" s="13" t="str">
        <f t="shared" si="69"/>
        <v/>
      </c>
      <c r="AW63" s="13" t="str">
        <f t="shared" si="69"/>
        <v/>
      </c>
      <c r="AX63" s="13" t="str">
        <f t="shared" si="69"/>
        <v/>
      </c>
      <c r="AY63" s="13" t="str">
        <f t="shared" si="69"/>
        <v/>
      </c>
      <c r="AZ63" s="13" t="str">
        <f t="shared" si="69"/>
        <v/>
      </c>
      <c r="BA63" s="13" t="str">
        <f t="shared" si="69"/>
        <v/>
      </c>
      <c r="BB63" s="13" t="str">
        <f t="shared" si="69"/>
        <v/>
      </c>
      <c r="BC63" s="13" t="str">
        <f t="shared" si="69"/>
        <v/>
      </c>
      <c r="BD63" s="13" t="str">
        <f t="shared" si="69"/>
        <v>▪</v>
      </c>
      <c r="BE63" s="13" t="str">
        <f t="shared" si="70"/>
        <v>▪</v>
      </c>
      <c r="BF63" s="13" t="str">
        <f t="shared" si="70"/>
        <v>▪</v>
      </c>
      <c r="BG63" s="13" t="str">
        <f t="shared" si="70"/>
        <v>▪</v>
      </c>
      <c r="BH63" s="13" t="str">
        <f t="shared" si="70"/>
        <v>▪</v>
      </c>
      <c r="BI63" s="13" t="str">
        <f t="shared" si="70"/>
        <v>▪</v>
      </c>
      <c r="BJ63" s="13" t="str">
        <f t="shared" si="70"/>
        <v>▪</v>
      </c>
      <c r="BK63" s="13" t="str">
        <f t="shared" si="70"/>
        <v/>
      </c>
      <c r="BL63" s="13" t="str">
        <f t="shared" si="70"/>
        <v/>
      </c>
      <c r="BM63" s="13" t="str">
        <f t="shared" si="70"/>
        <v/>
      </c>
      <c r="BN63" s="13" t="str">
        <f t="shared" si="70"/>
        <v/>
      </c>
      <c r="BO63" s="13" t="str">
        <f t="shared" si="71"/>
        <v/>
      </c>
      <c r="BP63" s="13" t="str">
        <f t="shared" si="71"/>
        <v/>
      </c>
      <c r="BQ63" s="13" t="str">
        <f t="shared" si="71"/>
        <v/>
      </c>
      <c r="BR63" s="13" t="str">
        <f t="shared" si="71"/>
        <v/>
      </c>
      <c r="BS63" s="13" t="str">
        <f t="shared" si="71"/>
        <v/>
      </c>
      <c r="BT63" s="13" t="str">
        <f t="shared" si="71"/>
        <v/>
      </c>
      <c r="BU63" s="13" t="str">
        <f t="shared" si="71"/>
        <v/>
      </c>
      <c r="BV63" s="13" t="str">
        <f t="shared" si="71"/>
        <v/>
      </c>
      <c r="BW63" s="13" t="str">
        <f t="shared" si="71"/>
        <v/>
      </c>
      <c r="BX63" s="13" t="str">
        <f t="shared" si="71"/>
        <v/>
      </c>
      <c r="BY63" s="13" t="str">
        <f t="shared" si="72"/>
        <v/>
      </c>
      <c r="BZ63" s="13" t="str">
        <f t="shared" si="72"/>
        <v/>
      </c>
      <c r="CA63" s="13" t="str">
        <f t="shared" si="72"/>
        <v/>
      </c>
      <c r="CB63" s="13" t="str">
        <f t="shared" si="72"/>
        <v/>
      </c>
      <c r="CC63" s="13" t="str">
        <f t="shared" si="72"/>
        <v/>
      </c>
      <c r="CD63" s="13" t="str">
        <f t="shared" si="72"/>
        <v/>
      </c>
      <c r="CE63" s="13" t="str">
        <f t="shared" si="72"/>
        <v/>
      </c>
      <c r="CF63" s="13" t="str">
        <f t="shared" si="72"/>
        <v/>
      </c>
      <c r="CG63" s="13" t="str">
        <f t="shared" si="72"/>
        <v/>
      </c>
      <c r="CH63" s="13" t="str">
        <f t="shared" si="72"/>
        <v/>
      </c>
      <c r="CI63" s="13" t="str">
        <f t="shared" si="73"/>
        <v/>
      </c>
      <c r="CJ63" s="13" t="str">
        <f t="shared" si="73"/>
        <v/>
      </c>
      <c r="CK63" s="13" t="str">
        <f t="shared" si="73"/>
        <v/>
      </c>
      <c r="CL63" s="13" t="str">
        <f t="shared" si="73"/>
        <v/>
      </c>
      <c r="CM63" s="13" t="str">
        <f t="shared" si="73"/>
        <v/>
      </c>
      <c r="CN63" s="13" t="str">
        <f t="shared" si="73"/>
        <v/>
      </c>
      <c r="CO63" s="13" t="str">
        <f t="shared" si="73"/>
        <v/>
      </c>
      <c r="CP63" s="13" t="str">
        <f t="shared" si="73"/>
        <v/>
      </c>
      <c r="CQ63" s="13" t="str">
        <f t="shared" si="73"/>
        <v/>
      </c>
      <c r="CR63" s="13" t="str">
        <f t="shared" si="73"/>
        <v/>
      </c>
      <c r="CS63" s="13" t="str">
        <f t="shared" si="74"/>
        <v/>
      </c>
      <c r="CT63" s="13" t="str">
        <f t="shared" si="74"/>
        <v/>
      </c>
      <c r="CU63" s="13" t="str">
        <f t="shared" si="74"/>
        <v/>
      </c>
      <c r="CV63" s="13" t="str">
        <f t="shared" si="74"/>
        <v/>
      </c>
      <c r="CW63" s="13" t="str">
        <f t="shared" si="74"/>
        <v/>
      </c>
      <c r="CX63" s="13" t="str">
        <f t="shared" si="74"/>
        <v/>
      </c>
      <c r="CY63" s="13" t="str">
        <f t="shared" si="74"/>
        <v/>
      </c>
      <c r="CZ63" s="13" t="str">
        <f t="shared" si="74"/>
        <v/>
      </c>
      <c r="DA63" s="13" t="str">
        <f t="shared" si="74"/>
        <v/>
      </c>
      <c r="DB63" s="13" t="str">
        <f t="shared" si="74"/>
        <v/>
      </c>
      <c r="DC63" s="13" t="str">
        <f t="shared" si="75"/>
        <v/>
      </c>
      <c r="DD63" s="13" t="str">
        <f t="shared" si="75"/>
        <v/>
      </c>
      <c r="DE63" s="13" t="str">
        <f t="shared" si="75"/>
        <v/>
      </c>
      <c r="DF63" s="13" t="str">
        <f t="shared" si="75"/>
        <v/>
      </c>
      <c r="DG63" s="13" t="str">
        <f t="shared" si="75"/>
        <v/>
      </c>
      <c r="DH63" s="13" t="str">
        <f t="shared" si="75"/>
        <v/>
      </c>
      <c r="DI63" s="13" t="str">
        <f t="shared" si="75"/>
        <v/>
      </c>
      <c r="DJ63" s="13" t="str">
        <f t="shared" si="75"/>
        <v/>
      </c>
      <c r="DK63" s="13" t="str">
        <f t="shared" si="75"/>
        <v/>
      </c>
      <c r="DL63" s="13" t="str">
        <f t="shared" si="75"/>
        <v/>
      </c>
      <c r="DM63" s="13" t="str">
        <f t="shared" si="76"/>
        <v/>
      </c>
      <c r="DN63" s="13" t="str">
        <f t="shared" si="76"/>
        <v/>
      </c>
      <c r="DO63" s="13" t="str">
        <f t="shared" si="76"/>
        <v/>
      </c>
      <c r="DP63" s="13" t="str">
        <f t="shared" si="76"/>
        <v/>
      </c>
      <c r="DQ63" s="13" t="str">
        <f t="shared" si="76"/>
        <v/>
      </c>
      <c r="DR63" s="13" t="str">
        <f t="shared" si="76"/>
        <v/>
      </c>
      <c r="DS63" s="13" t="str">
        <f t="shared" si="76"/>
        <v/>
      </c>
      <c r="DT63" s="13" t="str">
        <f t="shared" si="76"/>
        <v/>
      </c>
      <c r="DU63" s="13" t="str">
        <f t="shared" si="76"/>
        <v/>
      </c>
      <c r="DV63" s="13" t="str">
        <f t="shared" si="76"/>
        <v/>
      </c>
      <c r="DW63" s="13" t="str">
        <f t="shared" si="77"/>
        <v/>
      </c>
      <c r="DX63" s="13" t="str">
        <f t="shared" si="77"/>
        <v/>
      </c>
      <c r="DY63" s="13" t="str">
        <f t="shared" si="77"/>
        <v/>
      </c>
      <c r="DZ63" s="13" t="str">
        <f t="shared" si="77"/>
        <v/>
      </c>
      <c r="EA63" s="13" t="str">
        <f t="shared" si="77"/>
        <v/>
      </c>
      <c r="EB63" s="13" t="str">
        <f t="shared" si="77"/>
        <v/>
      </c>
      <c r="EC63" s="13" t="str">
        <f t="shared" si="77"/>
        <v/>
      </c>
      <c r="ED63" s="13" t="str">
        <f t="shared" si="77"/>
        <v/>
      </c>
      <c r="EE63" s="13" t="str">
        <f t="shared" si="77"/>
        <v/>
      </c>
      <c r="EF63" s="13" t="str">
        <f t="shared" si="77"/>
        <v/>
      </c>
      <c r="EG63" s="13" t="str">
        <f t="shared" si="77"/>
        <v/>
      </c>
      <c r="EH63" s="13" t="str">
        <f t="shared" si="77"/>
        <v/>
      </c>
    </row>
    <row r="64" spans="1:138" ht="13.5" customHeight="1">
      <c r="A64" s="55" t="s">
        <v>144</v>
      </c>
      <c r="B64" s="56" t="s">
        <v>145</v>
      </c>
      <c r="C64" s="57" t="s">
        <v>86</v>
      </c>
      <c r="D64" s="9" t="s">
        <v>79</v>
      </c>
      <c r="E64" s="10">
        <v>46302</v>
      </c>
      <c r="F64" s="10">
        <v>46303</v>
      </c>
      <c r="G64" s="11" t="str">
        <f t="shared" si="65"/>
        <v/>
      </c>
      <c r="H64" s="11" t="str">
        <f t="shared" si="65"/>
        <v/>
      </c>
      <c r="I64" s="11" t="str">
        <f t="shared" si="65"/>
        <v/>
      </c>
      <c r="J64" s="11" t="str">
        <f t="shared" si="65"/>
        <v/>
      </c>
      <c r="K64" s="11" t="str">
        <f t="shared" si="65"/>
        <v/>
      </c>
      <c r="L64" s="11" t="str">
        <f t="shared" si="65"/>
        <v/>
      </c>
      <c r="M64" s="11" t="str">
        <f t="shared" si="65"/>
        <v/>
      </c>
      <c r="N64" s="11" t="str">
        <f t="shared" si="65"/>
        <v/>
      </c>
      <c r="O64" s="11" t="str">
        <f t="shared" si="65"/>
        <v/>
      </c>
      <c r="P64" s="11" t="str">
        <f t="shared" si="65"/>
        <v/>
      </c>
      <c r="Q64" s="11" t="str">
        <f t="shared" si="66"/>
        <v/>
      </c>
      <c r="R64" s="11" t="str">
        <f t="shared" si="66"/>
        <v/>
      </c>
      <c r="S64" s="11" t="str">
        <f t="shared" si="66"/>
        <v/>
      </c>
      <c r="T64" s="11" t="str">
        <f t="shared" si="66"/>
        <v/>
      </c>
      <c r="U64" s="11" t="str">
        <f t="shared" si="66"/>
        <v/>
      </c>
      <c r="V64" s="11" t="str">
        <f t="shared" si="66"/>
        <v/>
      </c>
      <c r="W64" s="11" t="str">
        <f t="shared" si="66"/>
        <v/>
      </c>
      <c r="X64" s="11" t="str">
        <f t="shared" si="66"/>
        <v/>
      </c>
      <c r="Y64" s="11" t="str">
        <f t="shared" si="66"/>
        <v/>
      </c>
      <c r="Z64" s="11" t="str">
        <f t="shared" si="66"/>
        <v/>
      </c>
      <c r="AA64" s="11" t="str">
        <f t="shared" si="67"/>
        <v/>
      </c>
      <c r="AB64" s="11" t="str">
        <f t="shared" si="67"/>
        <v/>
      </c>
      <c r="AC64" s="11" t="str">
        <f t="shared" si="67"/>
        <v/>
      </c>
      <c r="AD64" s="11" t="str">
        <f t="shared" si="67"/>
        <v/>
      </c>
      <c r="AE64" s="11" t="str">
        <f t="shared" si="67"/>
        <v/>
      </c>
      <c r="AF64" s="11" t="str">
        <f t="shared" si="67"/>
        <v/>
      </c>
      <c r="AG64" s="11" t="str">
        <f t="shared" si="67"/>
        <v/>
      </c>
      <c r="AH64" s="11" t="str">
        <f t="shared" si="67"/>
        <v/>
      </c>
      <c r="AI64" s="11" t="str">
        <f t="shared" si="67"/>
        <v/>
      </c>
      <c r="AJ64" s="11" t="str">
        <f t="shared" si="67"/>
        <v/>
      </c>
      <c r="AK64" s="11" t="str">
        <f t="shared" si="68"/>
        <v/>
      </c>
      <c r="AL64" s="11" t="str">
        <f t="shared" si="68"/>
        <v/>
      </c>
      <c r="AM64" s="11" t="str">
        <f t="shared" si="68"/>
        <v/>
      </c>
      <c r="AN64" s="11" t="str">
        <f t="shared" si="68"/>
        <v/>
      </c>
      <c r="AO64" s="11" t="str">
        <f t="shared" si="68"/>
        <v/>
      </c>
      <c r="AP64" s="11" t="str">
        <f t="shared" si="68"/>
        <v/>
      </c>
      <c r="AQ64" s="11" t="str">
        <f t="shared" si="68"/>
        <v/>
      </c>
      <c r="AR64" s="11" t="str">
        <f t="shared" si="68"/>
        <v/>
      </c>
      <c r="AS64" s="11" t="str">
        <f t="shared" si="68"/>
        <v/>
      </c>
      <c r="AT64" s="11" t="str">
        <f t="shared" si="68"/>
        <v/>
      </c>
      <c r="AU64" s="11" t="str">
        <f t="shared" si="69"/>
        <v/>
      </c>
      <c r="AV64" s="11" t="str">
        <f t="shared" si="69"/>
        <v/>
      </c>
      <c r="AW64" s="11" t="str">
        <f t="shared" si="69"/>
        <v/>
      </c>
      <c r="AX64" s="11" t="str">
        <f t="shared" si="69"/>
        <v/>
      </c>
      <c r="AY64" s="11" t="str">
        <f t="shared" si="69"/>
        <v/>
      </c>
      <c r="AZ64" s="11" t="str">
        <f t="shared" si="69"/>
        <v/>
      </c>
      <c r="BA64" s="11" t="str">
        <f t="shared" si="69"/>
        <v/>
      </c>
      <c r="BB64" s="11" t="str">
        <f t="shared" si="69"/>
        <v/>
      </c>
      <c r="BC64" s="11" t="str">
        <f t="shared" si="69"/>
        <v/>
      </c>
      <c r="BD64" s="11" t="str">
        <f t="shared" si="69"/>
        <v/>
      </c>
      <c r="BE64" s="11" t="str">
        <f t="shared" si="70"/>
        <v/>
      </c>
      <c r="BF64" s="11" t="str">
        <f t="shared" si="70"/>
        <v/>
      </c>
      <c r="BG64" s="11" t="str">
        <f t="shared" si="70"/>
        <v/>
      </c>
      <c r="BH64" s="11" t="str">
        <f t="shared" si="70"/>
        <v/>
      </c>
      <c r="BI64" s="11" t="str">
        <f t="shared" si="70"/>
        <v/>
      </c>
      <c r="BJ64" s="11" t="str">
        <f t="shared" si="70"/>
        <v/>
      </c>
      <c r="BK64" s="11" t="str">
        <f t="shared" si="70"/>
        <v/>
      </c>
      <c r="BL64" s="11" t="str">
        <f t="shared" si="70"/>
        <v/>
      </c>
      <c r="BM64" s="11" t="str">
        <f t="shared" si="70"/>
        <v/>
      </c>
      <c r="BN64" s="11" t="str">
        <f t="shared" si="70"/>
        <v/>
      </c>
      <c r="BO64" s="11" t="str">
        <f t="shared" si="71"/>
        <v/>
      </c>
      <c r="BP64" s="11" t="str">
        <f t="shared" si="71"/>
        <v/>
      </c>
      <c r="BQ64" s="11" t="str">
        <f t="shared" si="71"/>
        <v/>
      </c>
      <c r="BR64" s="11" t="str">
        <f t="shared" si="71"/>
        <v/>
      </c>
      <c r="BS64" s="11" t="str">
        <f t="shared" si="71"/>
        <v/>
      </c>
      <c r="BT64" s="11" t="str">
        <f t="shared" si="71"/>
        <v/>
      </c>
      <c r="BU64" s="11" t="str">
        <f t="shared" si="71"/>
        <v/>
      </c>
      <c r="BV64" s="11" t="str">
        <f t="shared" si="71"/>
        <v>▪</v>
      </c>
      <c r="BW64" s="11" t="str">
        <f t="shared" si="71"/>
        <v>▪</v>
      </c>
      <c r="BX64" s="11" t="str">
        <f t="shared" si="71"/>
        <v/>
      </c>
      <c r="BY64" s="11" t="str">
        <f t="shared" si="72"/>
        <v/>
      </c>
      <c r="BZ64" s="11" t="str">
        <f t="shared" si="72"/>
        <v/>
      </c>
      <c r="CA64" s="11" t="str">
        <f t="shared" si="72"/>
        <v/>
      </c>
      <c r="CB64" s="11" t="str">
        <f t="shared" si="72"/>
        <v/>
      </c>
      <c r="CC64" s="11" t="str">
        <f t="shared" si="72"/>
        <v/>
      </c>
      <c r="CD64" s="11" t="str">
        <f t="shared" si="72"/>
        <v/>
      </c>
      <c r="CE64" s="11" t="str">
        <f t="shared" si="72"/>
        <v/>
      </c>
      <c r="CF64" s="11" t="str">
        <f t="shared" si="72"/>
        <v/>
      </c>
      <c r="CG64" s="11" t="str">
        <f t="shared" si="72"/>
        <v/>
      </c>
      <c r="CH64" s="11" t="str">
        <f t="shared" si="72"/>
        <v/>
      </c>
      <c r="CI64" s="11" t="str">
        <f t="shared" si="73"/>
        <v/>
      </c>
      <c r="CJ64" s="11" t="str">
        <f t="shared" si="73"/>
        <v/>
      </c>
      <c r="CK64" s="11" t="str">
        <f t="shared" si="73"/>
        <v/>
      </c>
      <c r="CL64" s="11" t="str">
        <f t="shared" si="73"/>
        <v/>
      </c>
      <c r="CM64" s="11" t="str">
        <f t="shared" si="73"/>
        <v/>
      </c>
      <c r="CN64" s="11" t="str">
        <f t="shared" si="73"/>
        <v/>
      </c>
      <c r="CO64" s="11" t="str">
        <f t="shared" si="73"/>
        <v/>
      </c>
      <c r="CP64" s="11" t="str">
        <f t="shared" si="73"/>
        <v/>
      </c>
      <c r="CQ64" s="11" t="str">
        <f t="shared" si="73"/>
        <v/>
      </c>
      <c r="CR64" s="11" t="str">
        <f t="shared" si="73"/>
        <v/>
      </c>
      <c r="CS64" s="11" t="str">
        <f t="shared" si="74"/>
        <v/>
      </c>
      <c r="CT64" s="11" t="str">
        <f t="shared" si="74"/>
        <v/>
      </c>
      <c r="CU64" s="11" t="str">
        <f t="shared" si="74"/>
        <v/>
      </c>
      <c r="CV64" s="11" t="str">
        <f t="shared" si="74"/>
        <v/>
      </c>
      <c r="CW64" s="11" t="str">
        <f t="shared" si="74"/>
        <v/>
      </c>
      <c r="CX64" s="11" t="str">
        <f t="shared" si="74"/>
        <v/>
      </c>
      <c r="CY64" s="11" t="str">
        <f t="shared" si="74"/>
        <v/>
      </c>
      <c r="CZ64" s="11" t="str">
        <f t="shared" si="74"/>
        <v/>
      </c>
      <c r="DA64" s="11" t="str">
        <f t="shared" si="74"/>
        <v/>
      </c>
      <c r="DB64" s="11" t="str">
        <f t="shared" si="74"/>
        <v/>
      </c>
      <c r="DC64" s="11" t="str">
        <f t="shared" si="75"/>
        <v/>
      </c>
      <c r="DD64" s="11" t="str">
        <f t="shared" si="75"/>
        <v/>
      </c>
      <c r="DE64" s="11" t="str">
        <f t="shared" si="75"/>
        <v/>
      </c>
      <c r="DF64" s="11" t="str">
        <f t="shared" si="75"/>
        <v/>
      </c>
      <c r="DG64" s="11" t="str">
        <f t="shared" si="75"/>
        <v/>
      </c>
      <c r="DH64" s="11" t="str">
        <f t="shared" si="75"/>
        <v/>
      </c>
      <c r="DI64" s="11" t="str">
        <f t="shared" si="75"/>
        <v/>
      </c>
      <c r="DJ64" s="11" t="str">
        <f t="shared" si="75"/>
        <v/>
      </c>
      <c r="DK64" s="11" t="str">
        <f t="shared" si="75"/>
        <v/>
      </c>
      <c r="DL64" s="11" t="str">
        <f t="shared" si="75"/>
        <v/>
      </c>
      <c r="DM64" s="11" t="str">
        <f t="shared" si="76"/>
        <v/>
      </c>
      <c r="DN64" s="11" t="str">
        <f t="shared" si="76"/>
        <v/>
      </c>
      <c r="DO64" s="11" t="str">
        <f t="shared" si="76"/>
        <v/>
      </c>
      <c r="DP64" s="11" t="str">
        <f t="shared" si="76"/>
        <v/>
      </c>
      <c r="DQ64" s="11" t="str">
        <f t="shared" si="76"/>
        <v/>
      </c>
      <c r="DR64" s="11" t="str">
        <f t="shared" si="76"/>
        <v/>
      </c>
      <c r="DS64" s="11" t="str">
        <f t="shared" si="76"/>
        <v/>
      </c>
      <c r="DT64" s="11" t="str">
        <f t="shared" si="76"/>
        <v/>
      </c>
      <c r="DU64" s="11" t="str">
        <f t="shared" si="76"/>
        <v/>
      </c>
      <c r="DV64" s="11" t="str">
        <f t="shared" si="76"/>
        <v/>
      </c>
      <c r="DW64" s="11" t="str">
        <f t="shared" si="77"/>
        <v/>
      </c>
      <c r="DX64" s="11" t="str">
        <f t="shared" si="77"/>
        <v/>
      </c>
      <c r="DY64" s="11" t="str">
        <f t="shared" si="77"/>
        <v/>
      </c>
      <c r="DZ64" s="11" t="str">
        <f t="shared" si="77"/>
        <v/>
      </c>
      <c r="EA64" s="11" t="str">
        <f t="shared" si="77"/>
        <v/>
      </c>
      <c r="EB64" s="11" t="str">
        <f t="shared" si="77"/>
        <v/>
      </c>
      <c r="EC64" s="11" t="str">
        <f t="shared" si="77"/>
        <v/>
      </c>
      <c r="ED64" s="11" t="str">
        <f t="shared" si="77"/>
        <v/>
      </c>
      <c r="EE64" s="11" t="str">
        <f t="shared" si="77"/>
        <v/>
      </c>
      <c r="EF64" s="11" t="str">
        <f t="shared" si="77"/>
        <v/>
      </c>
      <c r="EG64" s="11" t="str">
        <f t="shared" si="77"/>
        <v/>
      </c>
      <c r="EH64" s="11" t="str">
        <f t="shared" si="77"/>
        <v/>
      </c>
    </row>
    <row r="65" spans="1:138" ht="13.5" customHeight="1">
      <c r="A65" s="55"/>
      <c r="B65" s="55"/>
      <c r="C65" s="55"/>
      <c r="D65" s="12" t="s">
        <v>80</v>
      </c>
      <c r="E65" s="10"/>
      <c r="F65" s="10"/>
      <c r="G65" s="13" t="str">
        <f t="shared" si="65"/>
        <v/>
      </c>
      <c r="H65" s="13" t="str">
        <f t="shared" si="65"/>
        <v/>
      </c>
      <c r="I65" s="13" t="str">
        <f t="shared" si="65"/>
        <v/>
      </c>
      <c r="J65" s="13" t="str">
        <f t="shared" si="65"/>
        <v/>
      </c>
      <c r="K65" s="13" t="str">
        <f t="shared" si="65"/>
        <v/>
      </c>
      <c r="L65" s="13" t="str">
        <f t="shared" si="65"/>
        <v/>
      </c>
      <c r="M65" s="13" t="str">
        <f t="shared" si="65"/>
        <v/>
      </c>
      <c r="N65" s="13" t="str">
        <f t="shared" si="65"/>
        <v/>
      </c>
      <c r="O65" s="13" t="str">
        <f t="shared" si="65"/>
        <v/>
      </c>
      <c r="P65" s="13" t="str">
        <f t="shared" si="65"/>
        <v/>
      </c>
      <c r="Q65" s="13" t="str">
        <f t="shared" si="66"/>
        <v/>
      </c>
      <c r="R65" s="13" t="str">
        <f t="shared" si="66"/>
        <v/>
      </c>
      <c r="S65" s="13" t="str">
        <f t="shared" si="66"/>
        <v/>
      </c>
      <c r="T65" s="13" t="str">
        <f t="shared" si="66"/>
        <v/>
      </c>
      <c r="U65" s="13" t="str">
        <f t="shared" si="66"/>
        <v/>
      </c>
      <c r="V65" s="13" t="str">
        <f t="shared" si="66"/>
        <v/>
      </c>
      <c r="W65" s="13" t="str">
        <f t="shared" si="66"/>
        <v/>
      </c>
      <c r="X65" s="13" t="str">
        <f t="shared" si="66"/>
        <v/>
      </c>
      <c r="Y65" s="13" t="str">
        <f t="shared" si="66"/>
        <v/>
      </c>
      <c r="Z65" s="13" t="str">
        <f t="shared" si="66"/>
        <v/>
      </c>
      <c r="AA65" s="13" t="str">
        <f t="shared" si="67"/>
        <v/>
      </c>
      <c r="AB65" s="13" t="str">
        <f t="shared" si="67"/>
        <v/>
      </c>
      <c r="AC65" s="13" t="str">
        <f t="shared" si="67"/>
        <v/>
      </c>
      <c r="AD65" s="13" t="str">
        <f t="shared" si="67"/>
        <v/>
      </c>
      <c r="AE65" s="13" t="str">
        <f t="shared" si="67"/>
        <v/>
      </c>
      <c r="AF65" s="13" t="str">
        <f t="shared" si="67"/>
        <v/>
      </c>
      <c r="AG65" s="13" t="str">
        <f t="shared" si="67"/>
        <v/>
      </c>
      <c r="AH65" s="13" t="str">
        <f t="shared" si="67"/>
        <v/>
      </c>
      <c r="AI65" s="13" t="str">
        <f t="shared" si="67"/>
        <v/>
      </c>
      <c r="AJ65" s="13" t="str">
        <f t="shared" si="67"/>
        <v/>
      </c>
      <c r="AK65" s="13" t="str">
        <f t="shared" si="68"/>
        <v/>
      </c>
      <c r="AL65" s="13" t="str">
        <f t="shared" si="68"/>
        <v/>
      </c>
      <c r="AM65" s="13" t="str">
        <f t="shared" si="68"/>
        <v/>
      </c>
      <c r="AN65" s="13" t="str">
        <f t="shared" si="68"/>
        <v/>
      </c>
      <c r="AO65" s="13" t="str">
        <f t="shared" si="68"/>
        <v/>
      </c>
      <c r="AP65" s="13" t="str">
        <f t="shared" si="68"/>
        <v/>
      </c>
      <c r="AQ65" s="13" t="str">
        <f t="shared" si="68"/>
        <v/>
      </c>
      <c r="AR65" s="13" t="str">
        <f t="shared" si="68"/>
        <v/>
      </c>
      <c r="AS65" s="13" t="str">
        <f t="shared" si="68"/>
        <v/>
      </c>
      <c r="AT65" s="13" t="str">
        <f t="shared" si="68"/>
        <v/>
      </c>
      <c r="AU65" s="13" t="str">
        <f t="shared" si="69"/>
        <v/>
      </c>
      <c r="AV65" s="13" t="str">
        <f t="shared" si="69"/>
        <v/>
      </c>
      <c r="AW65" s="13" t="str">
        <f t="shared" si="69"/>
        <v/>
      </c>
      <c r="AX65" s="13" t="str">
        <f t="shared" si="69"/>
        <v/>
      </c>
      <c r="AY65" s="13" t="str">
        <f t="shared" si="69"/>
        <v/>
      </c>
      <c r="AZ65" s="13" t="str">
        <f t="shared" si="69"/>
        <v/>
      </c>
      <c r="BA65" s="13" t="str">
        <f t="shared" si="69"/>
        <v/>
      </c>
      <c r="BB65" s="13" t="str">
        <f t="shared" si="69"/>
        <v/>
      </c>
      <c r="BC65" s="13" t="str">
        <f t="shared" si="69"/>
        <v/>
      </c>
      <c r="BD65" s="13" t="str">
        <f t="shared" si="69"/>
        <v/>
      </c>
      <c r="BE65" s="13" t="str">
        <f t="shared" si="70"/>
        <v/>
      </c>
      <c r="BF65" s="13" t="str">
        <f t="shared" si="70"/>
        <v/>
      </c>
      <c r="BG65" s="13" t="str">
        <f t="shared" si="70"/>
        <v/>
      </c>
      <c r="BH65" s="13" t="str">
        <f t="shared" si="70"/>
        <v/>
      </c>
      <c r="BI65" s="13" t="str">
        <f t="shared" si="70"/>
        <v/>
      </c>
      <c r="BJ65" s="13" t="str">
        <f t="shared" si="70"/>
        <v/>
      </c>
      <c r="BK65" s="13" t="str">
        <f t="shared" si="70"/>
        <v/>
      </c>
      <c r="BL65" s="13" t="str">
        <f t="shared" si="70"/>
        <v/>
      </c>
      <c r="BM65" s="13" t="str">
        <f t="shared" si="70"/>
        <v/>
      </c>
      <c r="BN65" s="13" t="str">
        <f t="shared" si="70"/>
        <v/>
      </c>
      <c r="BO65" s="13" t="str">
        <f t="shared" si="71"/>
        <v/>
      </c>
      <c r="BP65" s="13" t="str">
        <f t="shared" si="71"/>
        <v/>
      </c>
      <c r="BQ65" s="13" t="str">
        <f t="shared" si="71"/>
        <v/>
      </c>
      <c r="BR65" s="13" t="str">
        <f t="shared" si="71"/>
        <v/>
      </c>
      <c r="BS65" s="13" t="str">
        <f t="shared" si="71"/>
        <v/>
      </c>
      <c r="BT65" s="13" t="str">
        <f t="shared" si="71"/>
        <v/>
      </c>
      <c r="BU65" s="13" t="str">
        <f t="shared" si="71"/>
        <v/>
      </c>
      <c r="BV65" s="13" t="str">
        <f t="shared" si="71"/>
        <v/>
      </c>
      <c r="BW65" s="13" t="str">
        <f t="shared" si="71"/>
        <v/>
      </c>
      <c r="BX65" s="13" t="str">
        <f t="shared" si="71"/>
        <v/>
      </c>
      <c r="BY65" s="13" t="str">
        <f t="shared" si="72"/>
        <v/>
      </c>
      <c r="BZ65" s="13" t="str">
        <f t="shared" si="72"/>
        <v/>
      </c>
      <c r="CA65" s="13" t="str">
        <f t="shared" si="72"/>
        <v/>
      </c>
      <c r="CB65" s="13" t="str">
        <f t="shared" si="72"/>
        <v/>
      </c>
      <c r="CC65" s="13" t="str">
        <f t="shared" si="72"/>
        <v/>
      </c>
      <c r="CD65" s="13" t="str">
        <f t="shared" si="72"/>
        <v/>
      </c>
      <c r="CE65" s="13" t="str">
        <f t="shared" si="72"/>
        <v/>
      </c>
      <c r="CF65" s="13" t="str">
        <f t="shared" si="72"/>
        <v/>
      </c>
      <c r="CG65" s="13" t="str">
        <f t="shared" si="72"/>
        <v/>
      </c>
      <c r="CH65" s="13" t="str">
        <f t="shared" si="72"/>
        <v/>
      </c>
      <c r="CI65" s="13" t="str">
        <f t="shared" si="73"/>
        <v/>
      </c>
      <c r="CJ65" s="13" t="str">
        <f t="shared" si="73"/>
        <v/>
      </c>
      <c r="CK65" s="13" t="str">
        <f t="shared" si="73"/>
        <v/>
      </c>
      <c r="CL65" s="13" t="str">
        <f t="shared" si="73"/>
        <v/>
      </c>
      <c r="CM65" s="13" t="str">
        <f t="shared" si="73"/>
        <v/>
      </c>
      <c r="CN65" s="13" t="str">
        <f t="shared" si="73"/>
        <v/>
      </c>
      <c r="CO65" s="13" t="str">
        <f t="shared" si="73"/>
        <v/>
      </c>
      <c r="CP65" s="13" t="str">
        <f t="shared" si="73"/>
        <v/>
      </c>
      <c r="CQ65" s="13" t="str">
        <f t="shared" si="73"/>
        <v/>
      </c>
      <c r="CR65" s="13" t="str">
        <f t="shared" si="73"/>
        <v/>
      </c>
      <c r="CS65" s="13" t="str">
        <f t="shared" si="74"/>
        <v/>
      </c>
      <c r="CT65" s="13" t="str">
        <f t="shared" si="74"/>
        <v/>
      </c>
      <c r="CU65" s="13" t="str">
        <f t="shared" si="74"/>
        <v/>
      </c>
      <c r="CV65" s="13" t="str">
        <f t="shared" si="74"/>
        <v/>
      </c>
      <c r="CW65" s="13" t="str">
        <f t="shared" si="74"/>
        <v/>
      </c>
      <c r="CX65" s="13" t="str">
        <f t="shared" si="74"/>
        <v/>
      </c>
      <c r="CY65" s="13" t="str">
        <f t="shared" si="74"/>
        <v/>
      </c>
      <c r="CZ65" s="13" t="str">
        <f t="shared" si="74"/>
        <v/>
      </c>
      <c r="DA65" s="13" t="str">
        <f t="shared" si="74"/>
        <v/>
      </c>
      <c r="DB65" s="13" t="str">
        <f t="shared" si="74"/>
        <v/>
      </c>
      <c r="DC65" s="13" t="str">
        <f t="shared" si="75"/>
        <v/>
      </c>
      <c r="DD65" s="13" t="str">
        <f t="shared" si="75"/>
        <v/>
      </c>
      <c r="DE65" s="13" t="str">
        <f t="shared" si="75"/>
        <v/>
      </c>
      <c r="DF65" s="13" t="str">
        <f t="shared" si="75"/>
        <v/>
      </c>
      <c r="DG65" s="13" t="str">
        <f t="shared" si="75"/>
        <v/>
      </c>
      <c r="DH65" s="13" t="str">
        <f t="shared" si="75"/>
        <v/>
      </c>
      <c r="DI65" s="13" t="str">
        <f t="shared" si="75"/>
        <v/>
      </c>
      <c r="DJ65" s="13" t="str">
        <f t="shared" si="75"/>
        <v/>
      </c>
      <c r="DK65" s="13" t="str">
        <f t="shared" si="75"/>
        <v/>
      </c>
      <c r="DL65" s="13" t="str">
        <f t="shared" si="75"/>
        <v/>
      </c>
      <c r="DM65" s="13" t="str">
        <f t="shared" si="76"/>
        <v/>
      </c>
      <c r="DN65" s="13" t="str">
        <f t="shared" si="76"/>
        <v/>
      </c>
      <c r="DO65" s="13" t="str">
        <f t="shared" si="76"/>
        <v/>
      </c>
      <c r="DP65" s="13" t="str">
        <f t="shared" si="76"/>
        <v/>
      </c>
      <c r="DQ65" s="13" t="str">
        <f t="shared" si="76"/>
        <v/>
      </c>
      <c r="DR65" s="13" t="str">
        <f t="shared" si="76"/>
        <v/>
      </c>
      <c r="DS65" s="13" t="str">
        <f t="shared" si="76"/>
        <v/>
      </c>
      <c r="DT65" s="13" t="str">
        <f t="shared" si="76"/>
        <v/>
      </c>
      <c r="DU65" s="13" t="str">
        <f t="shared" si="76"/>
        <v/>
      </c>
      <c r="DV65" s="13" t="str">
        <f t="shared" si="76"/>
        <v/>
      </c>
      <c r="DW65" s="13" t="str">
        <f t="shared" si="77"/>
        <v/>
      </c>
      <c r="DX65" s="13" t="str">
        <f t="shared" si="77"/>
        <v/>
      </c>
      <c r="DY65" s="13" t="str">
        <f t="shared" si="77"/>
        <v/>
      </c>
      <c r="DZ65" s="13" t="str">
        <f t="shared" si="77"/>
        <v/>
      </c>
      <c r="EA65" s="13" t="str">
        <f t="shared" si="77"/>
        <v/>
      </c>
      <c r="EB65" s="13" t="str">
        <f t="shared" si="77"/>
        <v/>
      </c>
      <c r="EC65" s="13" t="str">
        <f t="shared" si="77"/>
        <v/>
      </c>
      <c r="ED65" s="13" t="str">
        <f t="shared" si="77"/>
        <v/>
      </c>
      <c r="EE65" s="13" t="str">
        <f t="shared" si="77"/>
        <v/>
      </c>
      <c r="EF65" s="13" t="str">
        <f t="shared" si="77"/>
        <v/>
      </c>
      <c r="EG65" s="13" t="str">
        <f t="shared" si="77"/>
        <v/>
      </c>
      <c r="EH65" s="13" t="str">
        <f t="shared" si="77"/>
        <v/>
      </c>
    </row>
    <row r="66" spans="1:138" ht="13.5" customHeight="1">
      <c r="A66" s="55" t="s">
        <v>146</v>
      </c>
      <c r="B66" s="56" t="s">
        <v>147</v>
      </c>
      <c r="C66" s="57" t="s">
        <v>90</v>
      </c>
      <c r="D66" s="9" t="s">
        <v>79</v>
      </c>
      <c r="E66" s="10">
        <v>46304</v>
      </c>
      <c r="F66" s="10">
        <v>46308</v>
      </c>
      <c r="G66" s="11" t="str">
        <f t="shared" si="65"/>
        <v/>
      </c>
      <c r="H66" s="11" t="str">
        <f t="shared" si="65"/>
        <v/>
      </c>
      <c r="I66" s="11" t="str">
        <f t="shared" si="65"/>
        <v/>
      </c>
      <c r="J66" s="11" t="str">
        <f t="shared" si="65"/>
        <v/>
      </c>
      <c r="K66" s="11" t="str">
        <f t="shared" si="65"/>
        <v/>
      </c>
      <c r="L66" s="11" t="str">
        <f t="shared" si="65"/>
        <v/>
      </c>
      <c r="M66" s="11" t="str">
        <f t="shared" si="65"/>
        <v/>
      </c>
      <c r="N66" s="11" t="str">
        <f t="shared" si="65"/>
        <v/>
      </c>
      <c r="O66" s="11" t="str">
        <f t="shared" si="65"/>
        <v/>
      </c>
      <c r="P66" s="11" t="str">
        <f t="shared" si="65"/>
        <v/>
      </c>
      <c r="Q66" s="11" t="str">
        <f t="shared" si="66"/>
        <v/>
      </c>
      <c r="R66" s="11" t="str">
        <f t="shared" si="66"/>
        <v/>
      </c>
      <c r="S66" s="11" t="str">
        <f t="shared" si="66"/>
        <v/>
      </c>
      <c r="T66" s="11" t="str">
        <f t="shared" si="66"/>
        <v/>
      </c>
      <c r="U66" s="11" t="str">
        <f t="shared" si="66"/>
        <v/>
      </c>
      <c r="V66" s="11" t="str">
        <f t="shared" si="66"/>
        <v/>
      </c>
      <c r="W66" s="11" t="str">
        <f t="shared" si="66"/>
        <v/>
      </c>
      <c r="X66" s="11" t="str">
        <f t="shared" si="66"/>
        <v/>
      </c>
      <c r="Y66" s="11" t="str">
        <f t="shared" si="66"/>
        <v/>
      </c>
      <c r="Z66" s="11" t="str">
        <f t="shared" si="66"/>
        <v/>
      </c>
      <c r="AA66" s="11" t="str">
        <f t="shared" si="67"/>
        <v/>
      </c>
      <c r="AB66" s="11" t="str">
        <f t="shared" si="67"/>
        <v/>
      </c>
      <c r="AC66" s="11" t="str">
        <f t="shared" si="67"/>
        <v/>
      </c>
      <c r="AD66" s="11" t="str">
        <f t="shared" si="67"/>
        <v/>
      </c>
      <c r="AE66" s="11" t="str">
        <f t="shared" si="67"/>
        <v/>
      </c>
      <c r="AF66" s="11" t="str">
        <f t="shared" si="67"/>
        <v/>
      </c>
      <c r="AG66" s="11" t="str">
        <f t="shared" si="67"/>
        <v/>
      </c>
      <c r="AH66" s="11" t="str">
        <f t="shared" si="67"/>
        <v/>
      </c>
      <c r="AI66" s="11" t="str">
        <f t="shared" si="67"/>
        <v/>
      </c>
      <c r="AJ66" s="11" t="str">
        <f t="shared" si="67"/>
        <v/>
      </c>
      <c r="AK66" s="11" t="str">
        <f t="shared" si="68"/>
        <v/>
      </c>
      <c r="AL66" s="11" t="str">
        <f t="shared" si="68"/>
        <v/>
      </c>
      <c r="AM66" s="11" t="str">
        <f t="shared" si="68"/>
        <v/>
      </c>
      <c r="AN66" s="11" t="str">
        <f t="shared" si="68"/>
        <v/>
      </c>
      <c r="AO66" s="11" t="str">
        <f t="shared" si="68"/>
        <v/>
      </c>
      <c r="AP66" s="11" t="str">
        <f t="shared" si="68"/>
        <v/>
      </c>
      <c r="AQ66" s="11" t="str">
        <f t="shared" si="68"/>
        <v/>
      </c>
      <c r="AR66" s="11" t="str">
        <f t="shared" si="68"/>
        <v/>
      </c>
      <c r="AS66" s="11" t="str">
        <f t="shared" si="68"/>
        <v/>
      </c>
      <c r="AT66" s="11" t="str">
        <f t="shared" si="68"/>
        <v/>
      </c>
      <c r="AU66" s="11" t="str">
        <f t="shared" si="69"/>
        <v/>
      </c>
      <c r="AV66" s="11" t="str">
        <f t="shared" si="69"/>
        <v/>
      </c>
      <c r="AW66" s="11" t="str">
        <f t="shared" si="69"/>
        <v/>
      </c>
      <c r="AX66" s="11" t="str">
        <f t="shared" si="69"/>
        <v/>
      </c>
      <c r="AY66" s="11" t="str">
        <f t="shared" si="69"/>
        <v/>
      </c>
      <c r="AZ66" s="11" t="str">
        <f t="shared" si="69"/>
        <v/>
      </c>
      <c r="BA66" s="11" t="str">
        <f t="shared" si="69"/>
        <v/>
      </c>
      <c r="BB66" s="11" t="str">
        <f t="shared" si="69"/>
        <v/>
      </c>
      <c r="BC66" s="11" t="str">
        <f t="shared" si="69"/>
        <v/>
      </c>
      <c r="BD66" s="11" t="str">
        <f t="shared" si="69"/>
        <v/>
      </c>
      <c r="BE66" s="11" t="str">
        <f t="shared" si="70"/>
        <v/>
      </c>
      <c r="BF66" s="11" t="str">
        <f t="shared" si="70"/>
        <v/>
      </c>
      <c r="BG66" s="11" t="str">
        <f t="shared" si="70"/>
        <v/>
      </c>
      <c r="BH66" s="11" t="str">
        <f t="shared" si="70"/>
        <v/>
      </c>
      <c r="BI66" s="11" t="str">
        <f t="shared" si="70"/>
        <v/>
      </c>
      <c r="BJ66" s="11" t="str">
        <f t="shared" si="70"/>
        <v/>
      </c>
      <c r="BK66" s="11" t="str">
        <f t="shared" si="70"/>
        <v/>
      </c>
      <c r="BL66" s="11" t="str">
        <f t="shared" si="70"/>
        <v/>
      </c>
      <c r="BM66" s="11" t="str">
        <f t="shared" si="70"/>
        <v/>
      </c>
      <c r="BN66" s="11" t="str">
        <f t="shared" si="70"/>
        <v/>
      </c>
      <c r="BO66" s="11" t="str">
        <f t="shared" si="71"/>
        <v/>
      </c>
      <c r="BP66" s="11" t="str">
        <f t="shared" si="71"/>
        <v/>
      </c>
      <c r="BQ66" s="11" t="str">
        <f t="shared" si="71"/>
        <v/>
      </c>
      <c r="BR66" s="11" t="str">
        <f t="shared" si="71"/>
        <v/>
      </c>
      <c r="BS66" s="11" t="str">
        <f t="shared" si="71"/>
        <v/>
      </c>
      <c r="BT66" s="11" t="str">
        <f t="shared" si="71"/>
        <v/>
      </c>
      <c r="BU66" s="11" t="str">
        <f t="shared" si="71"/>
        <v/>
      </c>
      <c r="BV66" s="11" t="str">
        <f t="shared" si="71"/>
        <v/>
      </c>
      <c r="BW66" s="11" t="str">
        <f t="shared" si="71"/>
        <v/>
      </c>
      <c r="BX66" s="11" t="str">
        <f t="shared" si="71"/>
        <v>▪</v>
      </c>
      <c r="BY66" s="11" t="str">
        <f t="shared" si="72"/>
        <v>▪</v>
      </c>
      <c r="BZ66" s="11" t="str">
        <f t="shared" si="72"/>
        <v>▪</v>
      </c>
      <c r="CA66" s="11" t="str">
        <f t="shared" si="72"/>
        <v>▪</v>
      </c>
      <c r="CB66" s="11" t="str">
        <f t="shared" si="72"/>
        <v>▪</v>
      </c>
      <c r="CC66" s="11" t="str">
        <f t="shared" si="72"/>
        <v/>
      </c>
      <c r="CD66" s="11" t="str">
        <f t="shared" si="72"/>
        <v/>
      </c>
      <c r="CE66" s="11" t="str">
        <f t="shared" si="72"/>
        <v/>
      </c>
      <c r="CF66" s="11" t="str">
        <f t="shared" si="72"/>
        <v/>
      </c>
      <c r="CG66" s="11" t="str">
        <f t="shared" si="72"/>
        <v/>
      </c>
      <c r="CH66" s="11" t="str">
        <f t="shared" si="72"/>
        <v/>
      </c>
      <c r="CI66" s="11" t="str">
        <f t="shared" si="73"/>
        <v/>
      </c>
      <c r="CJ66" s="11" t="str">
        <f t="shared" si="73"/>
        <v/>
      </c>
      <c r="CK66" s="11" t="str">
        <f t="shared" si="73"/>
        <v/>
      </c>
      <c r="CL66" s="11" t="str">
        <f t="shared" si="73"/>
        <v/>
      </c>
      <c r="CM66" s="11" t="str">
        <f t="shared" si="73"/>
        <v/>
      </c>
      <c r="CN66" s="11" t="str">
        <f t="shared" si="73"/>
        <v/>
      </c>
      <c r="CO66" s="11" t="str">
        <f t="shared" si="73"/>
        <v/>
      </c>
      <c r="CP66" s="11" t="str">
        <f t="shared" si="73"/>
        <v/>
      </c>
      <c r="CQ66" s="11" t="str">
        <f t="shared" si="73"/>
        <v/>
      </c>
      <c r="CR66" s="11" t="str">
        <f t="shared" si="73"/>
        <v/>
      </c>
      <c r="CS66" s="11" t="str">
        <f t="shared" si="74"/>
        <v/>
      </c>
      <c r="CT66" s="11" t="str">
        <f t="shared" si="74"/>
        <v/>
      </c>
      <c r="CU66" s="11" t="str">
        <f t="shared" si="74"/>
        <v/>
      </c>
      <c r="CV66" s="11" t="str">
        <f t="shared" si="74"/>
        <v/>
      </c>
      <c r="CW66" s="11" t="str">
        <f t="shared" si="74"/>
        <v/>
      </c>
      <c r="CX66" s="11" t="str">
        <f t="shared" si="74"/>
        <v/>
      </c>
      <c r="CY66" s="11" t="str">
        <f t="shared" si="74"/>
        <v/>
      </c>
      <c r="CZ66" s="11" t="str">
        <f t="shared" si="74"/>
        <v/>
      </c>
      <c r="DA66" s="11" t="str">
        <f t="shared" si="74"/>
        <v/>
      </c>
      <c r="DB66" s="11" t="str">
        <f t="shared" si="74"/>
        <v/>
      </c>
      <c r="DC66" s="11" t="str">
        <f t="shared" si="75"/>
        <v/>
      </c>
      <c r="DD66" s="11" t="str">
        <f t="shared" si="75"/>
        <v/>
      </c>
      <c r="DE66" s="11" t="str">
        <f t="shared" si="75"/>
        <v/>
      </c>
      <c r="DF66" s="11" t="str">
        <f t="shared" si="75"/>
        <v/>
      </c>
      <c r="DG66" s="11" t="str">
        <f t="shared" si="75"/>
        <v/>
      </c>
      <c r="DH66" s="11" t="str">
        <f t="shared" si="75"/>
        <v/>
      </c>
      <c r="DI66" s="11" t="str">
        <f t="shared" si="75"/>
        <v/>
      </c>
      <c r="DJ66" s="11" t="str">
        <f t="shared" si="75"/>
        <v/>
      </c>
      <c r="DK66" s="11" t="str">
        <f t="shared" si="75"/>
        <v/>
      </c>
      <c r="DL66" s="11" t="str">
        <f t="shared" si="75"/>
        <v/>
      </c>
      <c r="DM66" s="11" t="str">
        <f t="shared" si="76"/>
        <v/>
      </c>
      <c r="DN66" s="11" t="str">
        <f t="shared" si="76"/>
        <v/>
      </c>
      <c r="DO66" s="11" t="str">
        <f t="shared" si="76"/>
        <v/>
      </c>
      <c r="DP66" s="11" t="str">
        <f t="shared" si="76"/>
        <v/>
      </c>
      <c r="DQ66" s="11" t="str">
        <f t="shared" si="76"/>
        <v/>
      </c>
      <c r="DR66" s="11" t="str">
        <f t="shared" si="76"/>
        <v/>
      </c>
      <c r="DS66" s="11" t="str">
        <f t="shared" si="76"/>
        <v/>
      </c>
      <c r="DT66" s="11" t="str">
        <f t="shared" si="76"/>
        <v/>
      </c>
      <c r="DU66" s="11" t="str">
        <f t="shared" si="76"/>
        <v/>
      </c>
      <c r="DV66" s="11" t="str">
        <f t="shared" si="76"/>
        <v/>
      </c>
      <c r="DW66" s="11" t="str">
        <f t="shared" si="77"/>
        <v/>
      </c>
      <c r="DX66" s="11" t="str">
        <f t="shared" si="77"/>
        <v/>
      </c>
      <c r="DY66" s="11" t="str">
        <f t="shared" si="77"/>
        <v/>
      </c>
      <c r="DZ66" s="11" t="str">
        <f t="shared" si="77"/>
        <v/>
      </c>
      <c r="EA66" s="11" t="str">
        <f t="shared" si="77"/>
        <v/>
      </c>
      <c r="EB66" s="11" t="str">
        <f t="shared" si="77"/>
        <v/>
      </c>
      <c r="EC66" s="11" t="str">
        <f t="shared" si="77"/>
        <v/>
      </c>
      <c r="ED66" s="11" t="str">
        <f t="shared" si="77"/>
        <v/>
      </c>
      <c r="EE66" s="11" t="str">
        <f t="shared" si="77"/>
        <v/>
      </c>
      <c r="EF66" s="11" t="str">
        <f t="shared" si="77"/>
        <v/>
      </c>
      <c r="EG66" s="11" t="str">
        <f t="shared" si="77"/>
        <v/>
      </c>
      <c r="EH66" s="11" t="str">
        <f t="shared" si="77"/>
        <v/>
      </c>
    </row>
    <row r="67" spans="1:138" ht="13.5" customHeight="1">
      <c r="A67" s="55"/>
      <c r="B67" s="55"/>
      <c r="C67" s="55"/>
      <c r="D67" s="12" t="s">
        <v>80</v>
      </c>
      <c r="E67" s="10">
        <v>46291</v>
      </c>
      <c r="F67" s="10">
        <v>46297</v>
      </c>
      <c r="G67" s="13" t="str">
        <f t="shared" si="65"/>
        <v/>
      </c>
      <c r="H67" s="13" t="str">
        <f t="shared" si="65"/>
        <v/>
      </c>
      <c r="I67" s="13" t="str">
        <f t="shared" si="65"/>
        <v/>
      </c>
      <c r="J67" s="13" t="str">
        <f t="shared" si="65"/>
        <v/>
      </c>
      <c r="K67" s="13" t="str">
        <f t="shared" si="65"/>
        <v/>
      </c>
      <c r="L67" s="13" t="str">
        <f t="shared" si="65"/>
        <v/>
      </c>
      <c r="M67" s="13" t="str">
        <f t="shared" si="65"/>
        <v/>
      </c>
      <c r="N67" s="13" t="str">
        <f t="shared" si="65"/>
        <v/>
      </c>
      <c r="O67" s="13" t="str">
        <f t="shared" si="65"/>
        <v/>
      </c>
      <c r="P67" s="13" t="str">
        <f t="shared" si="65"/>
        <v/>
      </c>
      <c r="Q67" s="13" t="str">
        <f t="shared" si="66"/>
        <v/>
      </c>
      <c r="R67" s="13" t="str">
        <f t="shared" si="66"/>
        <v/>
      </c>
      <c r="S67" s="13" t="str">
        <f t="shared" si="66"/>
        <v/>
      </c>
      <c r="T67" s="13" t="str">
        <f t="shared" si="66"/>
        <v/>
      </c>
      <c r="U67" s="13" t="str">
        <f t="shared" si="66"/>
        <v/>
      </c>
      <c r="V67" s="13" t="str">
        <f t="shared" si="66"/>
        <v/>
      </c>
      <c r="W67" s="13" t="str">
        <f t="shared" si="66"/>
        <v/>
      </c>
      <c r="X67" s="13" t="str">
        <f t="shared" si="66"/>
        <v/>
      </c>
      <c r="Y67" s="13" t="str">
        <f t="shared" si="66"/>
        <v/>
      </c>
      <c r="Z67" s="13" t="str">
        <f t="shared" si="66"/>
        <v/>
      </c>
      <c r="AA67" s="13" t="str">
        <f t="shared" si="67"/>
        <v/>
      </c>
      <c r="AB67" s="13" t="str">
        <f t="shared" si="67"/>
        <v/>
      </c>
      <c r="AC67" s="13" t="str">
        <f t="shared" si="67"/>
        <v/>
      </c>
      <c r="AD67" s="13" t="str">
        <f t="shared" si="67"/>
        <v/>
      </c>
      <c r="AE67" s="13" t="str">
        <f t="shared" si="67"/>
        <v/>
      </c>
      <c r="AF67" s="13" t="str">
        <f t="shared" si="67"/>
        <v/>
      </c>
      <c r="AG67" s="13" t="str">
        <f t="shared" si="67"/>
        <v/>
      </c>
      <c r="AH67" s="13" t="str">
        <f t="shared" si="67"/>
        <v/>
      </c>
      <c r="AI67" s="13" t="str">
        <f t="shared" si="67"/>
        <v/>
      </c>
      <c r="AJ67" s="13" t="str">
        <f t="shared" si="67"/>
        <v/>
      </c>
      <c r="AK67" s="13" t="str">
        <f t="shared" si="68"/>
        <v/>
      </c>
      <c r="AL67" s="13" t="str">
        <f t="shared" si="68"/>
        <v/>
      </c>
      <c r="AM67" s="13" t="str">
        <f t="shared" si="68"/>
        <v/>
      </c>
      <c r="AN67" s="13" t="str">
        <f t="shared" si="68"/>
        <v/>
      </c>
      <c r="AO67" s="13" t="str">
        <f t="shared" si="68"/>
        <v/>
      </c>
      <c r="AP67" s="13" t="str">
        <f t="shared" si="68"/>
        <v/>
      </c>
      <c r="AQ67" s="13" t="str">
        <f t="shared" si="68"/>
        <v/>
      </c>
      <c r="AR67" s="13" t="str">
        <f t="shared" si="68"/>
        <v/>
      </c>
      <c r="AS67" s="13" t="str">
        <f t="shared" si="68"/>
        <v/>
      </c>
      <c r="AT67" s="13" t="str">
        <f t="shared" si="68"/>
        <v/>
      </c>
      <c r="AU67" s="13" t="str">
        <f t="shared" si="69"/>
        <v/>
      </c>
      <c r="AV67" s="13" t="str">
        <f t="shared" si="69"/>
        <v/>
      </c>
      <c r="AW67" s="13" t="str">
        <f t="shared" si="69"/>
        <v/>
      </c>
      <c r="AX67" s="13" t="str">
        <f t="shared" si="69"/>
        <v/>
      </c>
      <c r="AY67" s="13" t="str">
        <f t="shared" si="69"/>
        <v/>
      </c>
      <c r="AZ67" s="13" t="str">
        <f t="shared" si="69"/>
        <v/>
      </c>
      <c r="BA67" s="13" t="str">
        <f t="shared" si="69"/>
        <v/>
      </c>
      <c r="BB67" s="13" t="str">
        <f t="shared" si="69"/>
        <v/>
      </c>
      <c r="BC67" s="13" t="str">
        <f t="shared" si="69"/>
        <v/>
      </c>
      <c r="BD67" s="13" t="str">
        <f t="shared" si="69"/>
        <v/>
      </c>
      <c r="BE67" s="13" t="str">
        <f t="shared" si="70"/>
        <v/>
      </c>
      <c r="BF67" s="13" t="str">
        <f t="shared" si="70"/>
        <v/>
      </c>
      <c r="BG67" s="13" t="str">
        <f t="shared" si="70"/>
        <v/>
      </c>
      <c r="BH67" s="13" t="str">
        <f t="shared" si="70"/>
        <v/>
      </c>
      <c r="BI67" s="13" t="str">
        <f t="shared" si="70"/>
        <v/>
      </c>
      <c r="BJ67" s="13" t="str">
        <f t="shared" si="70"/>
        <v/>
      </c>
      <c r="BK67" s="13" t="str">
        <f t="shared" si="70"/>
        <v>▪</v>
      </c>
      <c r="BL67" s="13" t="str">
        <f t="shared" si="70"/>
        <v>▪</v>
      </c>
      <c r="BM67" s="13" t="str">
        <f t="shared" si="70"/>
        <v>▪</v>
      </c>
      <c r="BN67" s="13" t="str">
        <f t="shared" si="70"/>
        <v>▪</v>
      </c>
      <c r="BO67" s="13" t="str">
        <f t="shared" si="71"/>
        <v>▪</v>
      </c>
      <c r="BP67" s="13" t="str">
        <f t="shared" si="71"/>
        <v>▪</v>
      </c>
      <c r="BQ67" s="13" t="str">
        <f t="shared" si="71"/>
        <v>▪</v>
      </c>
      <c r="BR67" s="13" t="str">
        <f t="shared" si="71"/>
        <v/>
      </c>
      <c r="BS67" s="13" t="str">
        <f t="shared" si="71"/>
        <v/>
      </c>
      <c r="BT67" s="13" t="str">
        <f t="shared" si="71"/>
        <v/>
      </c>
      <c r="BU67" s="13" t="str">
        <f t="shared" si="71"/>
        <v/>
      </c>
      <c r="BV67" s="13" t="str">
        <f t="shared" si="71"/>
        <v/>
      </c>
      <c r="BW67" s="13" t="str">
        <f t="shared" si="71"/>
        <v/>
      </c>
      <c r="BX67" s="13" t="str">
        <f t="shared" si="71"/>
        <v/>
      </c>
      <c r="BY67" s="13" t="str">
        <f t="shared" si="72"/>
        <v/>
      </c>
      <c r="BZ67" s="13" t="str">
        <f t="shared" si="72"/>
        <v/>
      </c>
      <c r="CA67" s="13" t="str">
        <f t="shared" si="72"/>
        <v/>
      </c>
      <c r="CB67" s="13" t="str">
        <f t="shared" si="72"/>
        <v/>
      </c>
      <c r="CC67" s="13" t="str">
        <f t="shared" si="72"/>
        <v/>
      </c>
      <c r="CD67" s="13" t="str">
        <f t="shared" si="72"/>
        <v/>
      </c>
      <c r="CE67" s="13" t="str">
        <f t="shared" si="72"/>
        <v/>
      </c>
      <c r="CF67" s="13" t="str">
        <f t="shared" si="72"/>
        <v/>
      </c>
      <c r="CG67" s="13" t="str">
        <f t="shared" si="72"/>
        <v/>
      </c>
      <c r="CH67" s="13" t="str">
        <f t="shared" si="72"/>
        <v/>
      </c>
      <c r="CI67" s="13" t="str">
        <f t="shared" si="73"/>
        <v/>
      </c>
      <c r="CJ67" s="13" t="str">
        <f t="shared" si="73"/>
        <v/>
      </c>
      <c r="CK67" s="13" t="str">
        <f t="shared" si="73"/>
        <v/>
      </c>
      <c r="CL67" s="13" t="str">
        <f t="shared" si="73"/>
        <v/>
      </c>
      <c r="CM67" s="13" t="str">
        <f t="shared" si="73"/>
        <v/>
      </c>
      <c r="CN67" s="13" t="str">
        <f t="shared" si="73"/>
        <v/>
      </c>
      <c r="CO67" s="13" t="str">
        <f t="shared" si="73"/>
        <v/>
      </c>
      <c r="CP67" s="13" t="str">
        <f t="shared" si="73"/>
        <v/>
      </c>
      <c r="CQ67" s="13" t="str">
        <f t="shared" si="73"/>
        <v/>
      </c>
      <c r="CR67" s="13" t="str">
        <f t="shared" si="73"/>
        <v/>
      </c>
      <c r="CS67" s="13" t="str">
        <f t="shared" si="74"/>
        <v/>
      </c>
      <c r="CT67" s="13" t="str">
        <f t="shared" si="74"/>
        <v/>
      </c>
      <c r="CU67" s="13" t="str">
        <f t="shared" si="74"/>
        <v/>
      </c>
      <c r="CV67" s="13" t="str">
        <f t="shared" si="74"/>
        <v/>
      </c>
      <c r="CW67" s="13" t="str">
        <f t="shared" si="74"/>
        <v/>
      </c>
      <c r="CX67" s="13" t="str">
        <f t="shared" si="74"/>
        <v/>
      </c>
      <c r="CY67" s="13" t="str">
        <f t="shared" si="74"/>
        <v/>
      </c>
      <c r="CZ67" s="13" t="str">
        <f t="shared" si="74"/>
        <v/>
      </c>
      <c r="DA67" s="13" t="str">
        <f t="shared" si="74"/>
        <v/>
      </c>
      <c r="DB67" s="13" t="str">
        <f t="shared" si="74"/>
        <v/>
      </c>
      <c r="DC67" s="13" t="str">
        <f t="shared" si="75"/>
        <v/>
      </c>
      <c r="DD67" s="13" t="str">
        <f t="shared" si="75"/>
        <v/>
      </c>
      <c r="DE67" s="13" t="str">
        <f t="shared" si="75"/>
        <v/>
      </c>
      <c r="DF67" s="13" t="str">
        <f t="shared" si="75"/>
        <v/>
      </c>
      <c r="DG67" s="13" t="str">
        <f t="shared" si="75"/>
        <v/>
      </c>
      <c r="DH67" s="13" t="str">
        <f t="shared" si="75"/>
        <v/>
      </c>
      <c r="DI67" s="13" t="str">
        <f t="shared" si="75"/>
        <v/>
      </c>
      <c r="DJ67" s="13" t="str">
        <f t="shared" si="75"/>
        <v/>
      </c>
      <c r="DK67" s="13" t="str">
        <f t="shared" si="75"/>
        <v/>
      </c>
      <c r="DL67" s="13" t="str">
        <f t="shared" si="75"/>
        <v/>
      </c>
      <c r="DM67" s="13" t="str">
        <f t="shared" si="76"/>
        <v/>
      </c>
      <c r="DN67" s="13" t="str">
        <f t="shared" si="76"/>
        <v/>
      </c>
      <c r="DO67" s="13" t="str">
        <f t="shared" si="76"/>
        <v/>
      </c>
      <c r="DP67" s="13" t="str">
        <f t="shared" si="76"/>
        <v/>
      </c>
      <c r="DQ67" s="13" t="str">
        <f t="shared" si="76"/>
        <v/>
      </c>
      <c r="DR67" s="13" t="str">
        <f t="shared" si="76"/>
        <v/>
      </c>
      <c r="DS67" s="13" t="str">
        <f t="shared" si="76"/>
        <v/>
      </c>
      <c r="DT67" s="13" t="str">
        <f t="shared" si="76"/>
        <v/>
      </c>
      <c r="DU67" s="13" t="str">
        <f t="shared" si="76"/>
        <v/>
      </c>
      <c r="DV67" s="13" t="str">
        <f t="shared" si="76"/>
        <v/>
      </c>
      <c r="DW67" s="13" t="str">
        <f t="shared" si="77"/>
        <v/>
      </c>
      <c r="DX67" s="13" t="str">
        <f t="shared" si="77"/>
        <v/>
      </c>
      <c r="DY67" s="13" t="str">
        <f t="shared" si="77"/>
        <v/>
      </c>
      <c r="DZ67" s="13" t="str">
        <f t="shared" si="77"/>
        <v/>
      </c>
      <c r="EA67" s="13" t="str">
        <f t="shared" si="77"/>
        <v/>
      </c>
      <c r="EB67" s="13" t="str">
        <f t="shared" si="77"/>
        <v/>
      </c>
      <c r="EC67" s="13" t="str">
        <f t="shared" si="77"/>
        <v/>
      </c>
      <c r="ED67" s="13" t="str">
        <f t="shared" si="77"/>
        <v/>
      </c>
      <c r="EE67" s="13" t="str">
        <f t="shared" si="77"/>
        <v/>
      </c>
      <c r="EF67" s="13" t="str">
        <f t="shared" si="77"/>
        <v/>
      </c>
      <c r="EG67" s="13" t="str">
        <f t="shared" si="77"/>
        <v/>
      </c>
      <c r="EH67" s="13" t="str">
        <f t="shared" si="77"/>
        <v/>
      </c>
    </row>
    <row r="68" spans="1:138" ht="15.75" customHeight="1">
      <c r="A68" s="54" t="s">
        <v>148</v>
      </c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  <c r="DO68" s="54"/>
      <c r="DP68" s="54"/>
      <c r="DQ68" s="54"/>
      <c r="DR68" s="54"/>
      <c r="DS68" s="54"/>
      <c r="DT68" s="54"/>
      <c r="DU68" s="54"/>
      <c r="DV68" s="54"/>
      <c r="DW68" s="54"/>
      <c r="DX68" s="54"/>
      <c r="DY68" s="54"/>
      <c r="DZ68" s="54"/>
      <c r="EA68" s="54"/>
      <c r="EB68" s="54"/>
      <c r="EC68" s="54"/>
      <c r="ED68" s="54"/>
      <c r="EE68" s="54"/>
      <c r="EF68" s="54"/>
      <c r="EG68" s="54"/>
      <c r="EH68" s="54"/>
    </row>
    <row r="69" spans="1:138" ht="13.5" customHeight="1">
      <c r="A69" s="55" t="s">
        <v>149</v>
      </c>
      <c r="B69" s="56" t="s">
        <v>150</v>
      </c>
      <c r="C69" s="57" t="s">
        <v>137</v>
      </c>
      <c r="D69" s="9" t="s">
        <v>79</v>
      </c>
      <c r="E69" s="10">
        <v>46309</v>
      </c>
      <c r="F69" s="10">
        <v>46315</v>
      </c>
      <c r="G69" s="11" t="str">
        <f t="shared" ref="G69:P78" si="78">IF(AND($E69&lt;&gt;"",$F69&lt;&gt;"",$E69&lt;=G$3,$F69&gt;=G$3),"▪","")</f>
        <v/>
      </c>
      <c r="H69" s="11" t="str">
        <f t="shared" si="78"/>
        <v/>
      </c>
      <c r="I69" s="11" t="str">
        <f t="shared" si="78"/>
        <v/>
      </c>
      <c r="J69" s="11" t="str">
        <f t="shared" si="78"/>
        <v/>
      </c>
      <c r="K69" s="11" t="str">
        <f t="shared" si="78"/>
        <v/>
      </c>
      <c r="L69" s="11" t="str">
        <f t="shared" si="78"/>
        <v/>
      </c>
      <c r="M69" s="11" t="str">
        <f t="shared" si="78"/>
        <v/>
      </c>
      <c r="N69" s="11" t="str">
        <f t="shared" si="78"/>
        <v/>
      </c>
      <c r="O69" s="11" t="str">
        <f t="shared" si="78"/>
        <v/>
      </c>
      <c r="P69" s="11" t="str">
        <f t="shared" si="78"/>
        <v/>
      </c>
      <c r="Q69" s="11" t="str">
        <f t="shared" ref="Q69:Z78" si="79">IF(AND($E69&lt;&gt;"",$F69&lt;&gt;"",$E69&lt;=Q$3,$F69&gt;=Q$3),"▪","")</f>
        <v/>
      </c>
      <c r="R69" s="11" t="str">
        <f t="shared" si="79"/>
        <v/>
      </c>
      <c r="S69" s="11" t="str">
        <f t="shared" si="79"/>
        <v/>
      </c>
      <c r="T69" s="11" t="str">
        <f t="shared" si="79"/>
        <v/>
      </c>
      <c r="U69" s="11" t="str">
        <f t="shared" si="79"/>
        <v/>
      </c>
      <c r="V69" s="11" t="str">
        <f t="shared" si="79"/>
        <v/>
      </c>
      <c r="W69" s="11" t="str">
        <f t="shared" si="79"/>
        <v/>
      </c>
      <c r="X69" s="11" t="str">
        <f t="shared" si="79"/>
        <v/>
      </c>
      <c r="Y69" s="11" t="str">
        <f t="shared" si="79"/>
        <v/>
      </c>
      <c r="Z69" s="11" t="str">
        <f t="shared" si="79"/>
        <v/>
      </c>
      <c r="AA69" s="11" t="str">
        <f t="shared" ref="AA69:AJ78" si="80">IF(AND($E69&lt;&gt;"",$F69&lt;&gt;"",$E69&lt;=AA$3,$F69&gt;=AA$3),"▪","")</f>
        <v/>
      </c>
      <c r="AB69" s="11" t="str">
        <f t="shared" si="80"/>
        <v/>
      </c>
      <c r="AC69" s="11" t="str">
        <f t="shared" si="80"/>
        <v/>
      </c>
      <c r="AD69" s="11" t="str">
        <f t="shared" si="80"/>
        <v/>
      </c>
      <c r="AE69" s="11" t="str">
        <f t="shared" si="80"/>
        <v/>
      </c>
      <c r="AF69" s="11" t="str">
        <f t="shared" si="80"/>
        <v/>
      </c>
      <c r="AG69" s="11" t="str">
        <f t="shared" si="80"/>
        <v/>
      </c>
      <c r="AH69" s="11" t="str">
        <f t="shared" si="80"/>
        <v/>
      </c>
      <c r="AI69" s="11" t="str">
        <f t="shared" si="80"/>
        <v/>
      </c>
      <c r="AJ69" s="11" t="str">
        <f t="shared" si="80"/>
        <v/>
      </c>
      <c r="AK69" s="11" t="str">
        <f t="shared" ref="AK69:AT78" si="81">IF(AND($E69&lt;&gt;"",$F69&lt;&gt;"",$E69&lt;=AK$3,$F69&gt;=AK$3),"▪","")</f>
        <v/>
      </c>
      <c r="AL69" s="11" t="str">
        <f t="shared" si="81"/>
        <v/>
      </c>
      <c r="AM69" s="11" t="str">
        <f t="shared" si="81"/>
        <v/>
      </c>
      <c r="AN69" s="11" t="str">
        <f t="shared" si="81"/>
        <v/>
      </c>
      <c r="AO69" s="11" t="str">
        <f t="shared" si="81"/>
        <v/>
      </c>
      <c r="AP69" s="11" t="str">
        <f t="shared" si="81"/>
        <v/>
      </c>
      <c r="AQ69" s="11" t="str">
        <f t="shared" si="81"/>
        <v/>
      </c>
      <c r="AR69" s="11" t="str">
        <f t="shared" si="81"/>
        <v/>
      </c>
      <c r="AS69" s="11" t="str">
        <f t="shared" si="81"/>
        <v/>
      </c>
      <c r="AT69" s="11" t="str">
        <f t="shared" si="81"/>
        <v/>
      </c>
      <c r="AU69" s="11" t="str">
        <f t="shared" ref="AU69:BD78" si="82">IF(AND($E69&lt;&gt;"",$F69&lt;&gt;"",$E69&lt;=AU$3,$F69&gt;=AU$3),"▪","")</f>
        <v/>
      </c>
      <c r="AV69" s="11" t="str">
        <f t="shared" si="82"/>
        <v/>
      </c>
      <c r="AW69" s="11" t="str">
        <f t="shared" si="82"/>
        <v/>
      </c>
      <c r="AX69" s="11" t="str">
        <f t="shared" si="82"/>
        <v/>
      </c>
      <c r="AY69" s="11" t="str">
        <f t="shared" si="82"/>
        <v/>
      </c>
      <c r="AZ69" s="11" t="str">
        <f t="shared" si="82"/>
        <v/>
      </c>
      <c r="BA69" s="11" t="str">
        <f t="shared" si="82"/>
        <v/>
      </c>
      <c r="BB69" s="11" t="str">
        <f t="shared" si="82"/>
        <v/>
      </c>
      <c r="BC69" s="11" t="str">
        <f t="shared" si="82"/>
        <v/>
      </c>
      <c r="BD69" s="11" t="str">
        <f t="shared" si="82"/>
        <v/>
      </c>
      <c r="BE69" s="11" t="str">
        <f t="shared" ref="BE69:BN78" si="83">IF(AND($E69&lt;&gt;"",$F69&lt;&gt;"",$E69&lt;=BE$3,$F69&gt;=BE$3),"▪","")</f>
        <v/>
      </c>
      <c r="BF69" s="11" t="str">
        <f t="shared" si="83"/>
        <v/>
      </c>
      <c r="BG69" s="11" t="str">
        <f t="shared" si="83"/>
        <v/>
      </c>
      <c r="BH69" s="11" t="str">
        <f t="shared" si="83"/>
        <v/>
      </c>
      <c r="BI69" s="11" t="str">
        <f t="shared" si="83"/>
        <v/>
      </c>
      <c r="BJ69" s="11" t="str">
        <f t="shared" si="83"/>
        <v/>
      </c>
      <c r="BK69" s="11" t="str">
        <f t="shared" si="83"/>
        <v/>
      </c>
      <c r="BL69" s="11" t="str">
        <f t="shared" si="83"/>
        <v/>
      </c>
      <c r="BM69" s="11" t="str">
        <f t="shared" si="83"/>
        <v/>
      </c>
      <c r="BN69" s="11" t="str">
        <f t="shared" si="83"/>
        <v/>
      </c>
      <c r="BO69" s="11" t="str">
        <f t="shared" ref="BO69:BX78" si="84">IF(AND($E69&lt;&gt;"",$F69&lt;&gt;"",$E69&lt;=BO$3,$F69&gt;=BO$3),"▪","")</f>
        <v/>
      </c>
      <c r="BP69" s="11" t="str">
        <f t="shared" si="84"/>
        <v/>
      </c>
      <c r="BQ69" s="11" t="str">
        <f t="shared" si="84"/>
        <v/>
      </c>
      <c r="BR69" s="11" t="str">
        <f t="shared" si="84"/>
        <v/>
      </c>
      <c r="BS69" s="11" t="str">
        <f t="shared" si="84"/>
        <v/>
      </c>
      <c r="BT69" s="11" t="str">
        <f t="shared" si="84"/>
        <v/>
      </c>
      <c r="BU69" s="11" t="str">
        <f t="shared" si="84"/>
        <v/>
      </c>
      <c r="BV69" s="11" t="str">
        <f t="shared" si="84"/>
        <v/>
      </c>
      <c r="BW69" s="11" t="str">
        <f t="shared" si="84"/>
        <v/>
      </c>
      <c r="BX69" s="11" t="str">
        <f t="shared" si="84"/>
        <v/>
      </c>
      <c r="BY69" s="11" t="str">
        <f t="shared" ref="BY69:CH78" si="85">IF(AND($E69&lt;&gt;"",$F69&lt;&gt;"",$E69&lt;=BY$3,$F69&gt;=BY$3),"▪","")</f>
        <v/>
      </c>
      <c r="BZ69" s="11" t="str">
        <f t="shared" si="85"/>
        <v/>
      </c>
      <c r="CA69" s="11" t="str">
        <f t="shared" si="85"/>
        <v/>
      </c>
      <c r="CB69" s="11" t="str">
        <f t="shared" si="85"/>
        <v/>
      </c>
      <c r="CC69" s="11" t="str">
        <f t="shared" si="85"/>
        <v>▪</v>
      </c>
      <c r="CD69" s="11" t="str">
        <f t="shared" si="85"/>
        <v>▪</v>
      </c>
      <c r="CE69" s="11" t="str">
        <f t="shared" si="85"/>
        <v>▪</v>
      </c>
      <c r="CF69" s="11" t="str">
        <f t="shared" si="85"/>
        <v>▪</v>
      </c>
      <c r="CG69" s="11" t="str">
        <f t="shared" si="85"/>
        <v>▪</v>
      </c>
      <c r="CH69" s="11" t="str">
        <f t="shared" si="85"/>
        <v>▪</v>
      </c>
      <c r="CI69" s="11" t="str">
        <f t="shared" ref="CI69:CR78" si="86">IF(AND($E69&lt;&gt;"",$F69&lt;&gt;"",$E69&lt;=CI$3,$F69&gt;=CI$3),"▪","")</f>
        <v>▪</v>
      </c>
      <c r="CJ69" s="11" t="str">
        <f t="shared" si="86"/>
        <v/>
      </c>
      <c r="CK69" s="11" t="str">
        <f t="shared" si="86"/>
        <v/>
      </c>
      <c r="CL69" s="11" t="str">
        <f t="shared" si="86"/>
        <v/>
      </c>
      <c r="CM69" s="11" t="str">
        <f t="shared" si="86"/>
        <v/>
      </c>
      <c r="CN69" s="11" t="str">
        <f t="shared" si="86"/>
        <v/>
      </c>
      <c r="CO69" s="11" t="str">
        <f t="shared" si="86"/>
        <v/>
      </c>
      <c r="CP69" s="11" t="str">
        <f t="shared" si="86"/>
        <v/>
      </c>
      <c r="CQ69" s="11" t="str">
        <f t="shared" si="86"/>
        <v/>
      </c>
      <c r="CR69" s="11" t="str">
        <f t="shared" si="86"/>
        <v/>
      </c>
      <c r="CS69" s="11" t="str">
        <f t="shared" ref="CS69:DB78" si="87">IF(AND($E69&lt;&gt;"",$F69&lt;&gt;"",$E69&lt;=CS$3,$F69&gt;=CS$3),"▪","")</f>
        <v/>
      </c>
      <c r="CT69" s="11" t="str">
        <f t="shared" si="87"/>
        <v/>
      </c>
      <c r="CU69" s="11" t="str">
        <f t="shared" si="87"/>
        <v/>
      </c>
      <c r="CV69" s="11" t="str">
        <f t="shared" si="87"/>
        <v/>
      </c>
      <c r="CW69" s="11" t="str">
        <f t="shared" si="87"/>
        <v/>
      </c>
      <c r="CX69" s="11" t="str">
        <f t="shared" si="87"/>
        <v/>
      </c>
      <c r="CY69" s="11" t="str">
        <f t="shared" si="87"/>
        <v/>
      </c>
      <c r="CZ69" s="11" t="str">
        <f t="shared" si="87"/>
        <v/>
      </c>
      <c r="DA69" s="11" t="str">
        <f t="shared" si="87"/>
        <v/>
      </c>
      <c r="DB69" s="11" t="str">
        <f t="shared" si="87"/>
        <v/>
      </c>
      <c r="DC69" s="11" t="str">
        <f t="shared" ref="DC69:DL78" si="88">IF(AND($E69&lt;&gt;"",$F69&lt;&gt;"",$E69&lt;=DC$3,$F69&gt;=DC$3),"▪","")</f>
        <v/>
      </c>
      <c r="DD69" s="11" t="str">
        <f t="shared" si="88"/>
        <v/>
      </c>
      <c r="DE69" s="11" t="str">
        <f t="shared" si="88"/>
        <v/>
      </c>
      <c r="DF69" s="11" t="str">
        <f t="shared" si="88"/>
        <v/>
      </c>
      <c r="DG69" s="11" t="str">
        <f t="shared" si="88"/>
        <v/>
      </c>
      <c r="DH69" s="11" t="str">
        <f t="shared" si="88"/>
        <v/>
      </c>
      <c r="DI69" s="11" t="str">
        <f t="shared" si="88"/>
        <v/>
      </c>
      <c r="DJ69" s="11" t="str">
        <f t="shared" si="88"/>
        <v/>
      </c>
      <c r="DK69" s="11" t="str">
        <f t="shared" si="88"/>
        <v/>
      </c>
      <c r="DL69" s="11" t="str">
        <f t="shared" si="88"/>
        <v/>
      </c>
      <c r="DM69" s="11" t="str">
        <f t="shared" ref="DM69:DV78" si="89">IF(AND($E69&lt;&gt;"",$F69&lt;&gt;"",$E69&lt;=DM$3,$F69&gt;=DM$3),"▪","")</f>
        <v/>
      </c>
      <c r="DN69" s="11" t="str">
        <f t="shared" si="89"/>
        <v/>
      </c>
      <c r="DO69" s="11" t="str">
        <f t="shared" si="89"/>
        <v/>
      </c>
      <c r="DP69" s="11" t="str">
        <f t="shared" si="89"/>
        <v/>
      </c>
      <c r="DQ69" s="11" t="str">
        <f t="shared" si="89"/>
        <v/>
      </c>
      <c r="DR69" s="11" t="str">
        <f t="shared" si="89"/>
        <v/>
      </c>
      <c r="DS69" s="11" t="str">
        <f t="shared" si="89"/>
        <v/>
      </c>
      <c r="DT69" s="11" t="str">
        <f t="shared" si="89"/>
        <v/>
      </c>
      <c r="DU69" s="11" t="str">
        <f t="shared" si="89"/>
        <v/>
      </c>
      <c r="DV69" s="11" t="str">
        <f t="shared" si="89"/>
        <v/>
      </c>
      <c r="DW69" s="11" t="str">
        <f t="shared" ref="DW69:EH78" si="90">IF(AND($E69&lt;&gt;"",$F69&lt;&gt;"",$E69&lt;=DW$3,$F69&gt;=DW$3),"▪","")</f>
        <v/>
      </c>
      <c r="DX69" s="11" t="str">
        <f t="shared" si="90"/>
        <v/>
      </c>
      <c r="DY69" s="11" t="str">
        <f t="shared" si="90"/>
        <v/>
      </c>
      <c r="DZ69" s="11" t="str">
        <f t="shared" si="90"/>
        <v/>
      </c>
      <c r="EA69" s="11" t="str">
        <f t="shared" si="90"/>
        <v/>
      </c>
      <c r="EB69" s="11" t="str">
        <f t="shared" si="90"/>
        <v/>
      </c>
      <c r="EC69" s="11" t="str">
        <f t="shared" si="90"/>
        <v/>
      </c>
      <c r="ED69" s="11" t="str">
        <f t="shared" si="90"/>
        <v/>
      </c>
      <c r="EE69" s="11" t="str">
        <f t="shared" si="90"/>
        <v/>
      </c>
      <c r="EF69" s="11" t="str">
        <f t="shared" si="90"/>
        <v/>
      </c>
      <c r="EG69" s="11" t="str">
        <f t="shared" si="90"/>
        <v/>
      </c>
      <c r="EH69" s="11" t="str">
        <f t="shared" si="90"/>
        <v/>
      </c>
    </row>
    <row r="70" spans="1:138" ht="13.5" customHeight="1">
      <c r="A70" s="55"/>
      <c r="B70" s="55"/>
      <c r="C70" s="55"/>
      <c r="D70" s="12" t="s">
        <v>80</v>
      </c>
      <c r="E70" s="10">
        <v>46286</v>
      </c>
      <c r="F70" s="10">
        <v>46291</v>
      </c>
      <c r="G70" s="13" t="str">
        <f t="shared" si="78"/>
        <v/>
      </c>
      <c r="H70" s="13" t="str">
        <f t="shared" si="78"/>
        <v/>
      </c>
      <c r="I70" s="13" t="str">
        <f t="shared" si="78"/>
        <v/>
      </c>
      <c r="J70" s="13" t="str">
        <f t="shared" si="78"/>
        <v/>
      </c>
      <c r="K70" s="13" t="str">
        <f t="shared" si="78"/>
        <v/>
      </c>
      <c r="L70" s="13" t="str">
        <f t="shared" si="78"/>
        <v/>
      </c>
      <c r="M70" s="13" t="str">
        <f t="shared" si="78"/>
        <v/>
      </c>
      <c r="N70" s="13" t="str">
        <f t="shared" si="78"/>
        <v/>
      </c>
      <c r="O70" s="13" t="str">
        <f t="shared" si="78"/>
        <v/>
      </c>
      <c r="P70" s="13" t="str">
        <f t="shared" si="78"/>
        <v/>
      </c>
      <c r="Q70" s="13" t="str">
        <f t="shared" si="79"/>
        <v/>
      </c>
      <c r="R70" s="13" t="str">
        <f t="shared" si="79"/>
        <v/>
      </c>
      <c r="S70" s="13" t="str">
        <f t="shared" si="79"/>
        <v/>
      </c>
      <c r="T70" s="13" t="str">
        <f t="shared" si="79"/>
        <v/>
      </c>
      <c r="U70" s="13" t="str">
        <f t="shared" si="79"/>
        <v/>
      </c>
      <c r="V70" s="13" t="str">
        <f t="shared" si="79"/>
        <v/>
      </c>
      <c r="W70" s="13" t="str">
        <f t="shared" si="79"/>
        <v/>
      </c>
      <c r="X70" s="13" t="str">
        <f t="shared" si="79"/>
        <v/>
      </c>
      <c r="Y70" s="13" t="str">
        <f t="shared" si="79"/>
        <v/>
      </c>
      <c r="Z70" s="13" t="str">
        <f t="shared" si="79"/>
        <v/>
      </c>
      <c r="AA70" s="13" t="str">
        <f t="shared" si="80"/>
        <v/>
      </c>
      <c r="AB70" s="13" t="str">
        <f t="shared" si="80"/>
        <v/>
      </c>
      <c r="AC70" s="13" t="str">
        <f t="shared" si="80"/>
        <v/>
      </c>
      <c r="AD70" s="13" t="str">
        <f t="shared" si="80"/>
        <v/>
      </c>
      <c r="AE70" s="13" t="str">
        <f t="shared" si="80"/>
        <v/>
      </c>
      <c r="AF70" s="13" t="str">
        <f t="shared" si="80"/>
        <v/>
      </c>
      <c r="AG70" s="13" t="str">
        <f t="shared" si="80"/>
        <v/>
      </c>
      <c r="AH70" s="13" t="str">
        <f t="shared" si="80"/>
        <v/>
      </c>
      <c r="AI70" s="13" t="str">
        <f t="shared" si="80"/>
        <v/>
      </c>
      <c r="AJ70" s="13" t="str">
        <f t="shared" si="80"/>
        <v/>
      </c>
      <c r="AK70" s="13" t="str">
        <f t="shared" si="81"/>
        <v/>
      </c>
      <c r="AL70" s="13" t="str">
        <f t="shared" si="81"/>
        <v/>
      </c>
      <c r="AM70" s="13" t="str">
        <f t="shared" si="81"/>
        <v/>
      </c>
      <c r="AN70" s="13" t="str">
        <f t="shared" si="81"/>
        <v/>
      </c>
      <c r="AO70" s="13" t="str">
        <f t="shared" si="81"/>
        <v/>
      </c>
      <c r="AP70" s="13" t="str">
        <f t="shared" si="81"/>
        <v/>
      </c>
      <c r="AQ70" s="13" t="str">
        <f t="shared" si="81"/>
        <v/>
      </c>
      <c r="AR70" s="13" t="str">
        <f t="shared" si="81"/>
        <v/>
      </c>
      <c r="AS70" s="13" t="str">
        <f t="shared" si="81"/>
        <v/>
      </c>
      <c r="AT70" s="13" t="str">
        <f t="shared" si="81"/>
        <v/>
      </c>
      <c r="AU70" s="13" t="str">
        <f t="shared" si="82"/>
        <v/>
      </c>
      <c r="AV70" s="13" t="str">
        <f t="shared" si="82"/>
        <v/>
      </c>
      <c r="AW70" s="13" t="str">
        <f t="shared" si="82"/>
        <v/>
      </c>
      <c r="AX70" s="13" t="str">
        <f t="shared" si="82"/>
        <v/>
      </c>
      <c r="AY70" s="13" t="str">
        <f t="shared" si="82"/>
        <v/>
      </c>
      <c r="AZ70" s="13" t="str">
        <f t="shared" si="82"/>
        <v/>
      </c>
      <c r="BA70" s="13" t="str">
        <f t="shared" si="82"/>
        <v/>
      </c>
      <c r="BB70" s="13" t="str">
        <f t="shared" si="82"/>
        <v/>
      </c>
      <c r="BC70" s="13" t="str">
        <f t="shared" si="82"/>
        <v/>
      </c>
      <c r="BD70" s="13" t="str">
        <f t="shared" si="82"/>
        <v/>
      </c>
      <c r="BE70" s="13" t="str">
        <f t="shared" si="83"/>
        <v/>
      </c>
      <c r="BF70" s="13" t="str">
        <f t="shared" si="83"/>
        <v>▪</v>
      </c>
      <c r="BG70" s="13" t="str">
        <f t="shared" si="83"/>
        <v>▪</v>
      </c>
      <c r="BH70" s="13" t="str">
        <f t="shared" si="83"/>
        <v>▪</v>
      </c>
      <c r="BI70" s="13" t="str">
        <f t="shared" si="83"/>
        <v>▪</v>
      </c>
      <c r="BJ70" s="13" t="str">
        <f t="shared" si="83"/>
        <v>▪</v>
      </c>
      <c r="BK70" s="13" t="str">
        <f t="shared" si="83"/>
        <v>▪</v>
      </c>
      <c r="BL70" s="13" t="str">
        <f t="shared" si="83"/>
        <v/>
      </c>
      <c r="BM70" s="13" t="str">
        <f t="shared" si="83"/>
        <v/>
      </c>
      <c r="BN70" s="13" t="str">
        <f t="shared" si="83"/>
        <v/>
      </c>
      <c r="BO70" s="13" t="str">
        <f t="shared" si="84"/>
        <v/>
      </c>
      <c r="BP70" s="13" t="str">
        <f t="shared" si="84"/>
        <v/>
      </c>
      <c r="BQ70" s="13" t="str">
        <f t="shared" si="84"/>
        <v/>
      </c>
      <c r="BR70" s="13" t="str">
        <f t="shared" si="84"/>
        <v/>
      </c>
      <c r="BS70" s="13" t="str">
        <f t="shared" si="84"/>
        <v/>
      </c>
      <c r="BT70" s="13" t="str">
        <f t="shared" si="84"/>
        <v/>
      </c>
      <c r="BU70" s="13" t="str">
        <f t="shared" si="84"/>
        <v/>
      </c>
      <c r="BV70" s="13" t="str">
        <f t="shared" si="84"/>
        <v/>
      </c>
      <c r="BW70" s="13" t="str">
        <f t="shared" si="84"/>
        <v/>
      </c>
      <c r="BX70" s="13" t="str">
        <f t="shared" si="84"/>
        <v/>
      </c>
      <c r="BY70" s="13" t="str">
        <f t="shared" si="85"/>
        <v/>
      </c>
      <c r="BZ70" s="13" t="str">
        <f t="shared" si="85"/>
        <v/>
      </c>
      <c r="CA70" s="13" t="str">
        <f t="shared" si="85"/>
        <v/>
      </c>
      <c r="CB70" s="13" t="str">
        <f t="shared" si="85"/>
        <v/>
      </c>
      <c r="CC70" s="13" t="str">
        <f t="shared" si="85"/>
        <v/>
      </c>
      <c r="CD70" s="13" t="str">
        <f t="shared" si="85"/>
        <v/>
      </c>
      <c r="CE70" s="13" t="str">
        <f t="shared" si="85"/>
        <v/>
      </c>
      <c r="CF70" s="13" t="str">
        <f t="shared" si="85"/>
        <v/>
      </c>
      <c r="CG70" s="13" t="str">
        <f t="shared" si="85"/>
        <v/>
      </c>
      <c r="CH70" s="13" t="str">
        <f t="shared" si="85"/>
        <v/>
      </c>
      <c r="CI70" s="13" t="str">
        <f t="shared" si="86"/>
        <v/>
      </c>
      <c r="CJ70" s="13" t="str">
        <f t="shared" si="86"/>
        <v/>
      </c>
      <c r="CK70" s="13" t="str">
        <f t="shared" si="86"/>
        <v/>
      </c>
      <c r="CL70" s="13" t="str">
        <f t="shared" si="86"/>
        <v/>
      </c>
      <c r="CM70" s="13" t="str">
        <f t="shared" si="86"/>
        <v/>
      </c>
      <c r="CN70" s="13" t="str">
        <f t="shared" si="86"/>
        <v/>
      </c>
      <c r="CO70" s="13" t="str">
        <f t="shared" si="86"/>
        <v/>
      </c>
      <c r="CP70" s="13" t="str">
        <f t="shared" si="86"/>
        <v/>
      </c>
      <c r="CQ70" s="13" t="str">
        <f t="shared" si="86"/>
        <v/>
      </c>
      <c r="CR70" s="13" t="str">
        <f t="shared" si="86"/>
        <v/>
      </c>
      <c r="CS70" s="13" t="str">
        <f t="shared" si="87"/>
        <v/>
      </c>
      <c r="CT70" s="13" t="str">
        <f t="shared" si="87"/>
        <v/>
      </c>
      <c r="CU70" s="13" t="str">
        <f t="shared" si="87"/>
        <v/>
      </c>
      <c r="CV70" s="13" t="str">
        <f t="shared" si="87"/>
        <v/>
      </c>
      <c r="CW70" s="13" t="str">
        <f t="shared" si="87"/>
        <v/>
      </c>
      <c r="CX70" s="13" t="str">
        <f t="shared" si="87"/>
        <v/>
      </c>
      <c r="CY70" s="13" t="str">
        <f t="shared" si="87"/>
        <v/>
      </c>
      <c r="CZ70" s="13" t="str">
        <f t="shared" si="87"/>
        <v/>
      </c>
      <c r="DA70" s="13" t="str">
        <f t="shared" si="87"/>
        <v/>
      </c>
      <c r="DB70" s="13" t="str">
        <f t="shared" si="87"/>
        <v/>
      </c>
      <c r="DC70" s="13" t="str">
        <f t="shared" si="88"/>
        <v/>
      </c>
      <c r="DD70" s="13" t="str">
        <f t="shared" si="88"/>
        <v/>
      </c>
      <c r="DE70" s="13" t="str">
        <f t="shared" si="88"/>
        <v/>
      </c>
      <c r="DF70" s="13" t="str">
        <f t="shared" si="88"/>
        <v/>
      </c>
      <c r="DG70" s="13" t="str">
        <f t="shared" si="88"/>
        <v/>
      </c>
      <c r="DH70" s="13" t="str">
        <f t="shared" si="88"/>
        <v/>
      </c>
      <c r="DI70" s="13" t="str">
        <f t="shared" si="88"/>
        <v/>
      </c>
      <c r="DJ70" s="13" t="str">
        <f t="shared" si="88"/>
        <v/>
      </c>
      <c r="DK70" s="13" t="str">
        <f t="shared" si="88"/>
        <v/>
      </c>
      <c r="DL70" s="13" t="str">
        <f t="shared" si="88"/>
        <v/>
      </c>
      <c r="DM70" s="13" t="str">
        <f t="shared" si="89"/>
        <v/>
      </c>
      <c r="DN70" s="13" t="str">
        <f t="shared" si="89"/>
        <v/>
      </c>
      <c r="DO70" s="13" t="str">
        <f t="shared" si="89"/>
        <v/>
      </c>
      <c r="DP70" s="13" t="str">
        <f t="shared" si="89"/>
        <v/>
      </c>
      <c r="DQ70" s="13" t="str">
        <f t="shared" si="89"/>
        <v/>
      </c>
      <c r="DR70" s="13" t="str">
        <f t="shared" si="89"/>
        <v/>
      </c>
      <c r="DS70" s="13" t="str">
        <f t="shared" si="89"/>
        <v/>
      </c>
      <c r="DT70" s="13" t="str">
        <f t="shared" si="89"/>
        <v/>
      </c>
      <c r="DU70" s="13" t="str">
        <f t="shared" si="89"/>
        <v/>
      </c>
      <c r="DV70" s="13" t="str">
        <f t="shared" si="89"/>
        <v/>
      </c>
      <c r="DW70" s="13" t="str">
        <f t="shared" si="90"/>
        <v/>
      </c>
      <c r="DX70" s="13" t="str">
        <f t="shared" si="90"/>
        <v/>
      </c>
      <c r="DY70" s="13" t="str">
        <f t="shared" si="90"/>
        <v/>
      </c>
      <c r="DZ70" s="13" t="str">
        <f t="shared" si="90"/>
        <v/>
      </c>
      <c r="EA70" s="13" t="str">
        <f t="shared" si="90"/>
        <v/>
      </c>
      <c r="EB70" s="13" t="str">
        <f t="shared" si="90"/>
        <v/>
      </c>
      <c r="EC70" s="13" t="str">
        <f t="shared" si="90"/>
        <v/>
      </c>
      <c r="ED70" s="13" t="str">
        <f t="shared" si="90"/>
        <v/>
      </c>
      <c r="EE70" s="13" t="str">
        <f t="shared" si="90"/>
        <v/>
      </c>
      <c r="EF70" s="13" t="str">
        <f t="shared" si="90"/>
        <v/>
      </c>
      <c r="EG70" s="13" t="str">
        <f t="shared" si="90"/>
        <v/>
      </c>
      <c r="EH70" s="13" t="str">
        <f t="shared" si="90"/>
        <v/>
      </c>
    </row>
    <row r="71" spans="1:138" ht="13.5" customHeight="1">
      <c r="A71" s="55" t="s">
        <v>151</v>
      </c>
      <c r="B71" s="56" t="s">
        <v>152</v>
      </c>
      <c r="C71" s="57" t="s">
        <v>137</v>
      </c>
      <c r="D71" s="9" t="s">
        <v>79</v>
      </c>
      <c r="E71" s="10">
        <v>46316</v>
      </c>
      <c r="F71" s="10">
        <v>46318</v>
      </c>
      <c r="G71" s="11" t="str">
        <f t="shared" si="78"/>
        <v/>
      </c>
      <c r="H71" s="11" t="str">
        <f t="shared" si="78"/>
        <v/>
      </c>
      <c r="I71" s="11" t="str">
        <f t="shared" si="78"/>
        <v/>
      </c>
      <c r="J71" s="11" t="str">
        <f t="shared" si="78"/>
        <v/>
      </c>
      <c r="K71" s="11" t="str">
        <f t="shared" si="78"/>
        <v/>
      </c>
      <c r="L71" s="11" t="str">
        <f t="shared" si="78"/>
        <v/>
      </c>
      <c r="M71" s="11" t="str">
        <f t="shared" si="78"/>
        <v/>
      </c>
      <c r="N71" s="11" t="str">
        <f t="shared" si="78"/>
        <v/>
      </c>
      <c r="O71" s="11" t="str">
        <f t="shared" si="78"/>
        <v/>
      </c>
      <c r="P71" s="11" t="str">
        <f t="shared" si="78"/>
        <v/>
      </c>
      <c r="Q71" s="11" t="str">
        <f t="shared" si="79"/>
        <v/>
      </c>
      <c r="R71" s="11" t="str">
        <f t="shared" si="79"/>
        <v/>
      </c>
      <c r="S71" s="11" t="str">
        <f t="shared" si="79"/>
        <v/>
      </c>
      <c r="T71" s="11" t="str">
        <f t="shared" si="79"/>
        <v/>
      </c>
      <c r="U71" s="11" t="str">
        <f t="shared" si="79"/>
        <v/>
      </c>
      <c r="V71" s="11" t="str">
        <f t="shared" si="79"/>
        <v/>
      </c>
      <c r="W71" s="11" t="str">
        <f t="shared" si="79"/>
        <v/>
      </c>
      <c r="X71" s="11" t="str">
        <f t="shared" si="79"/>
        <v/>
      </c>
      <c r="Y71" s="11" t="str">
        <f t="shared" si="79"/>
        <v/>
      </c>
      <c r="Z71" s="11" t="str">
        <f t="shared" si="79"/>
        <v/>
      </c>
      <c r="AA71" s="11" t="str">
        <f t="shared" si="80"/>
        <v/>
      </c>
      <c r="AB71" s="11" t="str">
        <f t="shared" si="80"/>
        <v/>
      </c>
      <c r="AC71" s="11" t="str">
        <f t="shared" si="80"/>
        <v/>
      </c>
      <c r="AD71" s="11" t="str">
        <f t="shared" si="80"/>
        <v/>
      </c>
      <c r="AE71" s="11" t="str">
        <f t="shared" si="80"/>
        <v/>
      </c>
      <c r="AF71" s="11" t="str">
        <f t="shared" si="80"/>
        <v/>
      </c>
      <c r="AG71" s="11" t="str">
        <f t="shared" si="80"/>
        <v/>
      </c>
      <c r="AH71" s="11" t="str">
        <f t="shared" si="80"/>
        <v/>
      </c>
      <c r="AI71" s="11" t="str">
        <f t="shared" si="80"/>
        <v/>
      </c>
      <c r="AJ71" s="11" t="str">
        <f t="shared" si="80"/>
        <v/>
      </c>
      <c r="AK71" s="11" t="str">
        <f t="shared" si="81"/>
        <v/>
      </c>
      <c r="AL71" s="11" t="str">
        <f t="shared" si="81"/>
        <v/>
      </c>
      <c r="AM71" s="11" t="str">
        <f t="shared" si="81"/>
        <v/>
      </c>
      <c r="AN71" s="11" t="str">
        <f t="shared" si="81"/>
        <v/>
      </c>
      <c r="AO71" s="11" t="str">
        <f t="shared" si="81"/>
        <v/>
      </c>
      <c r="AP71" s="11" t="str">
        <f t="shared" si="81"/>
        <v/>
      </c>
      <c r="AQ71" s="11" t="str">
        <f t="shared" si="81"/>
        <v/>
      </c>
      <c r="AR71" s="11" t="str">
        <f t="shared" si="81"/>
        <v/>
      </c>
      <c r="AS71" s="11" t="str">
        <f t="shared" si="81"/>
        <v/>
      </c>
      <c r="AT71" s="11" t="str">
        <f t="shared" si="81"/>
        <v/>
      </c>
      <c r="AU71" s="11" t="str">
        <f t="shared" si="82"/>
        <v/>
      </c>
      <c r="AV71" s="11" t="str">
        <f t="shared" si="82"/>
        <v/>
      </c>
      <c r="AW71" s="11" t="str">
        <f t="shared" si="82"/>
        <v/>
      </c>
      <c r="AX71" s="11" t="str">
        <f t="shared" si="82"/>
        <v/>
      </c>
      <c r="AY71" s="11" t="str">
        <f t="shared" si="82"/>
        <v/>
      </c>
      <c r="AZ71" s="11" t="str">
        <f t="shared" si="82"/>
        <v/>
      </c>
      <c r="BA71" s="11" t="str">
        <f t="shared" si="82"/>
        <v/>
      </c>
      <c r="BB71" s="11" t="str">
        <f t="shared" si="82"/>
        <v/>
      </c>
      <c r="BC71" s="11" t="str">
        <f t="shared" si="82"/>
        <v/>
      </c>
      <c r="BD71" s="11" t="str">
        <f t="shared" si="82"/>
        <v/>
      </c>
      <c r="BE71" s="11" t="str">
        <f t="shared" si="83"/>
        <v/>
      </c>
      <c r="BF71" s="11" t="str">
        <f t="shared" si="83"/>
        <v/>
      </c>
      <c r="BG71" s="11" t="str">
        <f t="shared" si="83"/>
        <v/>
      </c>
      <c r="BH71" s="11" t="str">
        <f t="shared" si="83"/>
        <v/>
      </c>
      <c r="BI71" s="11" t="str">
        <f t="shared" si="83"/>
        <v/>
      </c>
      <c r="BJ71" s="11" t="str">
        <f t="shared" si="83"/>
        <v/>
      </c>
      <c r="BK71" s="11" t="str">
        <f t="shared" si="83"/>
        <v/>
      </c>
      <c r="BL71" s="11" t="str">
        <f t="shared" si="83"/>
        <v/>
      </c>
      <c r="BM71" s="11" t="str">
        <f t="shared" si="83"/>
        <v/>
      </c>
      <c r="BN71" s="11" t="str">
        <f t="shared" si="83"/>
        <v/>
      </c>
      <c r="BO71" s="11" t="str">
        <f t="shared" si="84"/>
        <v/>
      </c>
      <c r="BP71" s="11" t="str">
        <f t="shared" si="84"/>
        <v/>
      </c>
      <c r="BQ71" s="11" t="str">
        <f t="shared" si="84"/>
        <v/>
      </c>
      <c r="BR71" s="11" t="str">
        <f t="shared" si="84"/>
        <v/>
      </c>
      <c r="BS71" s="11" t="str">
        <f t="shared" si="84"/>
        <v/>
      </c>
      <c r="BT71" s="11" t="str">
        <f t="shared" si="84"/>
        <v/>
      </c>
      <c r="BU71" s="11" t="str">
        <f t="shared" si="84"/>
        <v/>
      </c>
      <c r="BV71" s="11" t="str">
        <f t="shared" si="84"/>
        <v/>
      </c>
      <c r="BW71" s="11" t="str">
        <f t="shared" si="84"/>
        <v/>
      </c>
      <c r="BX71" s="11" t="str">
        <f t="shared" si="84"/>
        <v/>
      </c>
      <c r="BY71" s="11" t="str">
        <f t="shared" si="85"/>
        <v/>
      </c>
      <c r="BZ71" s="11" t="str">
        <f t="shared" si="85"/>
        <v/>
      </c>
      <c r="CA71" s="11" t="str">
        <f t="shared" si="85"/>
        <v/>
      </c>
      <c r="CB71" s="11" t="str">
        <f t="shared" si="85"/>
        <v/>
      </c>
      <c r="CC71" s="11" t="str">
        <f t="shared" si="85"/>
        <v/>
      </c>
      <c r="CD71" s="11" t="str">
        <f t="shared" si="85"/>
        <v/>
      </c>
      <c r="CE71" s="11" t="str">
        <f t="shared" si="85"/>
        <v/>
      </c>
      <c r="CF71" s="11" t="str">
        <f t="shared" si="85"/>
        <v/>
      </c>
      <c r="CG71" s="11" t="str">
        <f t="shared" si="85"/>
        <v/>
      </c>
      <c r="CH71" s="11" t="str">
        <f t="shared" si="85"/>
        <v/>
      </c>
      <c r="CI71" s="11" t="str">
        <f t="shared" si="86"/>
        <v/>
      </c>
      <c r="CJ71" s="11" t="str">
        <f t="shared" si="86"/>
        <v>▪</v>
      </c>
      <c r="CK71" s="11" t="str">
        <f t="shared" si="86"/>
        <v>▪</v>
      </c>
      <c r="CL71" s="11" t="str">
        <f t="shared" si="86"/>
        <v>▪</v>
      </c>
      <c r="CM71" s="11" t="str">
        <f t="shared" si="86"/>
        <v/>
      </c>
      <c r="CN71" s="11" t="str">
        <f t="shared" si="86"/>
        <v/>
      </c>
      <c r="CO71" s="11" t="str">
        <f t="shared" si="86"/>
        <v/>
      </c>
      <c r="CP71" s="11" t="str">
        <f t="shared" si="86"/>
        <v/>
      </c>
      <c r="CQ71" s="11" t="str">
        <f t="shared" si="86"/>
        <v/>
      </c>
      <c r="CR71" s="11" t="str">
        <f t="shared" si="86"/>
        <v/>
      </c>
      <c r="CS71" s="11" t="str">
        <f t="shared" si="87"/>
        <v/>
      </c>
      <c r="CT71" s="11" t="str">
        <f t="shared" si="87"/>
        <v/>
      </c>
      <c r="CU71" s="11" t="str">
        <f t="shared" si="87"/>
        <v/>
      </c>
      <c r="CV71" s="11" t="str">
        <f t="shared" si="87"/>
        <v/>
      </c>
      <c r="CW71" s="11" t="str">
        <f t="shared" si="87"/>
        <v/>
      </c>
      <c r="CX71" s="11" t="str">
        <f t="shared" si="87"/>
        <v/>
      </c>
      <c r="CY71" s="11" t="str">
        <f t="shared" si="87"/>
        <v/>
      </c>
      <c r="CZ71" s="11" t="str">
        <f t="shared" si="87"/>
        <v/>
      </c>
      <c r="DA71" s="11" t="str">
        <f t="shared" si="87"/>
        <v/>
      </c>
      <c r="DB71" s="11" t="str">
        <f t="shared" si="87"/>
        <v/>
      </c>
      <c r="DC71" s="11" t="str">
        <f t="shared" si="88"/>
        <v/>
      </c>
      <c r="DD71" s="11" t="str">
        <f t="shared" si="88"/>
        <v/>
      </c>
      <c r="DE71" s="11" t="str">
        <f t="shared" si="88"/>
        <v/>
      </c>
      <c r="DF71" s="11" t="str">
        <f t="shared" si="88"/>
        <v/>
      </c>
      <c r="DG71" s="11" t="str">
        <f t="shared" si="88"/>
        <v/>
      </c>
      <c r="DH71" s="11" t="str">
        <f t="shared" si="88"/>
        <v/>
      </c>
      <c r="DI71" s="11" t="str">
        <f t="shared" si="88"/>
        <v/>
      </c>
      <c r="DJ71" s="11" t="str">
        <f t="shared" si="88"/>
        <v/>
      </c>
      <c r="DK71" s="11" t="str">
        <f t="shared" si="88"/>
        <v/>
      </c>
      <c r="DL71" s="11" t="str">
        <f t="shared" si="88"/>
        <v/>
      </c>
      <c r="DM71" s="11" t="str">
        <f t="shared" si="89"/>
        <v/>
      </c>
      <c r="DN71" s="11" t="str">
        <f t="shared" si="89"/>
        <v/>
      </c>
      <c r="DO71" s="11" t="str">
        <f t="shared" si="89"/>
        <v/>
      </c>
      <c r="DP71" s="11" t="str">
        <f t="shared" si="89"/>
        <v/>
      </c>
      <c r="DQ71" s="11" t="str">
        <f t="shared" si="89"/>
        <v/>
      </c>
      <c r="DR71" s="11" t="str">
        <f t="shared" si="89"/>
        <v/>
      </c>
      <c r="DS71" s="11" t="str">
        <f t="shared" si="89"/>
        <v/>
      </c>
      <c r="DT71" s="11" t="str">
        <f t="shared" si="89"/>
        <v/>
      </c>
      <c r="DU71" s="11" t="str">
        <f t="shared" si="89"/>
        <v/>
      </c>
      <c r="DV71" s="11" t="str">
        <f t="shared" si="89"/>
        <v/>
      </c>
      <c r="DW71" s="11" t="str">
        <f t="shared" si="90"/>
        <v/>
      </c>
      <c r="DX71" s="11" t="str">
        <f t="shared" si="90"/>
        <v/>
      </c>
      <c r="DY71" s="11" t="str">
        <f t="shared" si="90"/>
        <v/>
      </c>
      <c r="DZ71" s="11" t="str">
        <f t="shared" si="90"/>
        <v/>
      </c>
      <c r="EA71" s="11" t="str">
        <f t="shared" si="90"/>
        <v/>
      </c>
      <c r="EB71" s="11" t="str">
        <f t="shared" si="90"/>
        <v/>
      </c>
      <c r="EC71" s="11" t="str">
        <f t="shared" si="90"/>
        <v/>
      </c>
      <c r="ED71" s="11" t="str">
        <f t="shared" si="90"/>
        <v/>
      </c>
      <c r="EE71" s="11" t="str">
        <f t="shared" si="90"/>
        <v/>
      </c>
      <c r="EF71" s="11" t="str">
        <f t="shared" si="90"/>
        <v/>
      </c>
      <c r="EG71" s="11" t="str">
        <f t="shared" si="90"/>
        <v/>
      </c>
      <c r="EH71" s="11" t="str">
        <f t="shared" si="90"/>
        <v/>
      </c>
    </row>
    <row r="72" spans="1:138" ht="13.5" customHeight="1">
      <c r="A72" s="55"/>
      <c r="B72" s="55"/>
      <c r="C72" s="55"/>
      <c r="D72" s="12" t="s">
        <v>80</v>
      </c>
      <c r="E72" s="10">
        <v>46286</v>
      </c>
      <c r="F72" s="10">
        <v>46291</v>
      </c>
      <c r="G72" s="13" t="str">
        <f t="shared" si="78"/>
        <v/>
      </c>
      <c r="H72" s="13" t="str">
        <f t="shared" si="78"/>
        <v/>
      </c>
      <c r="I72" s="13" t="str">
        <f t="shared" si="78"/>
        <v/>
      </c>
      <c r="J72" s="13" t="str">
        <f t="shared" si="78"/>
        <v/>
      </c>
      <c r="K72" s="13" t="str">
        <f t="shared" si="78"/>
        <v/>
      </c>
      <c r="L72" s="13" t="str">
        <f t="shared" si="78"/>
        <v/>
      </c>
      <c r="M72" s="13" t="str">
        <f t="shared" si="78"/>
        <v/>
      </c>
      <c r="N72" s="13" t="str">
        <f t="shared" si="78"/>
        <v/>
      </c>
      <c r="O72" s="13" t="str">
        <f t="shared" si="78"/>
        <v/>
      </c>
      <c r="P72" s="13" t="str">
        <f t="shared" si="78"/>
        <v/>
      </c>
      <c r="Q72" s="13" t="str">
        <f t="shared" si="79"/>
        <v/>
      </c>
      <c r="R72" s="13" t="str">
        <f t="shared" si="79"/>
        <v/>
      </c>
      <c r="S72" s="13" t="str">
        <f t="shared" si="79"/>
        <v/>
      </c>
      <c r="T72" s="13" t="str">
        <f t="shared" si="79"/>
        <v/>
      </c>
      <c r="U72" s="13" t="str">
        <f t="shared" si="79"/>
        <v/>
      </c>
      <c r="V72" s="13" t="str">
        <f t="shared" si="79"/>
        <v/>
      </c>
      <c r="W72" s="13" t="str">
        <f t="shared" si="79"/>
        <v/>
      </c>
      <c r="X72" s="13" t="str">
        <f t="shared" si="79"/>
        <v/>
      </c>
      <c r="Y72" s="13" t="str">
        <f t="shared" si="79"/>
        <v/>
      </c>
      <c r="Z72" s="13" t="str">
        <f t="shared" si="79"/>
        <v/>
      </c>
      <c r="AA72" s="13" t="str">
        <f t="shared" si="80"/>
        <v/>
      </c>
      <c r="AB72" s="13" t="str">
        <f t="shared" si="80"/>
        <v/>
      </c>
      <c r="AC72" s="13" t="str">
        <f t="shared" si="80"/>
        <v/>
      </c>
      <c r="AD72" s="13" t="str">
        <f t="shared" si="80"/>
        <v/>
      </c>
      <c r="AE72" s="13" t="str">
        <f t="shared" si="80"/>
        <v/>
      </c>
      <c r="AF72" s="13" t="str">
        <f t="shared" si="80"/>
        <v/>
      </c>
      <c r="AG72" s="13" t="str">
        <f t="shared" si="80"/>
        <v/>
      </c>
      <c r="AH72" s="13" t="str">
        <f t="shared" si="80"/>
        <v/>
      </c>
      <c r="AI72" s="13" t="str">
        <f t="shared" si="80"/>
        <v/>
      </c>
      <c r="AJ72" s="13" t="str">
        <f t="shared" si="80"/>
        <v/>
      </c>
      <c r="AK72" s="13" t="str">
        <f t="shared" si="81"/>
        <v/>
      </c>
      <c r="AL72" s="13" t="str">
        <f t="shared" si="81"/>
        <v/>
      </c>
      <c r="AM72" s="13" t="str">
        <f t="shared" si="81"/>
        <v/>
      </c>
      <c r="AN72" s="13" t="str">
        <f t="shared" si="81"/>
        <v/>
      </c>
      <c r="AO72" s="13" t="str">
        <f t="shared" si="81"/>
        <v/>
      </c>
      <c r="AP72" s="13" t="str">
        <f t="shared" si="81"/>
        <v/>
      </c>
      <c r="AQ72" s="13" t="str">
        <f t="shared" si="81"/>
        <v/>
      </c>
      <c r="AR72" s="13" t="str">
        <f t="shared" si="81"/>
        <v/>
      </c>
      <c r="AS72" s="13" t="str">
        <f t="shared" si="81"/>
        <v/>
      </c>
      <c r="AT72" s="13" t="str">
        <f t="shared" si="81"/>
        <v/>
      </c>
      <c r="AU72" s="13" t="str">
        <f t="shared" si="82"/>
        <v/>
      </c>
      <c r="AV72" s="13" t="str">
        <f t="shared" si="82"/>
        <v/>
      </c>
      <c r="AW72" s="13" t="str">
        <f t="shared" si="82"/>
        <v/>
      </c>
      <c r="AX72" s="13" t="str">
        <f t="shared" si="82"/>
        <v/>
      </c>
      <c r="AY72" s="13" t="str">
        <f t="shared" si="82"/>
        <v/>
      </c>
      <c r="AZ72" s="13" t="str">
        <f t="shared" si="82"/>
        <v/>
      </c>
      <c r="BA72" s="13" t="str">
        <f t="shared" si="82"/>
        <v/>
      </c>
      <c r="BB72" s="13" t="str">
        <f t="shared" si="82"/>
        <v/>
      </c>
      <c r="BC72" s="13" t="str">
        <f t="shared" si="82"/>
        <v/>
      </c>
      <c r="BD72" s="13" t="str">
        <f t="shared" si="82"/>
        <v/>
      </c>
      <c r="BE72" s="13" t="str">
        <f t="shared" si="83"/>
        <v/>
      </c>
      <c r="BF72" s="13" t="str">
        <f t="shared" si="83"/>
        <v>▪</v>
      </c>
      <c r="BG72" s="13" t="str">
        <f t="shared" si="83"/>
        <v>▪</v>
      </c>
      <c r="BH72" s="13" t="str">
        <f t="shared" si="83"/>
        <v>▪</v>
      </c>
      <c r="BI72" s="13" t="str">
        <f t="shared" si="83"/>
        <v>▪</v>
      </c>
      <c r="BJ72" s="13" t="str">
        <f t="shared" si="83"/>
        <v>▪</v>
      </c>
      <c r="BK72" s="13" t="str">
        <f t="shared" si="83"/>
        <v>▪</v>
      </c>
      <c r="BL72" s="13" t="str">
        <f t="shared" si="83"/>
        <v/>
      </c>
      <c r="BM72" s="13" t="str">
        <f t="shared" si="83"/>
        <v/>
      </c>
      <c r="BN72" s="13" t="str">
        <f t="shared" si="83"/>
        <v/>
      </c>
      <c r="BO72" s="13" t="str">
        <f t="shared" si="84"/>
        <v/>
      </c>
      <c r="BP72" s="13" t="str">
        <f t="shared" si="84"/>
        <v/>
      </c>
      <c r="BQ72" s="13" t="str">
        <f t="shared" si="84"/>
        <v/>
      </c>
      <c r="BR72" s="13" t="str">
        <f t="shared" si="84"/>
        <v/>
      </c>
      <c r="BS72" s="13" t="str">
        <f t="shared" si="84"/>
        <v/>
      </c>
      <c r="BT72" s="13" t="str">
        <f t="shared" si="84"/>
        <v/>
      </c>
      <c r="BU72" s="13" t="str">
        <f t="shared" si="84"/>
        <v/>
      </c>
      <c r="BV72" s="13" t="str">
        <f t="shared" si="84"/>
        <v/>
      </c>
      <c r="BW72" s="13" t="str">
        <f t="shared" si="84"/>
        <v/>
      </c>
      <c r="BX72" s="13" t="str">
        <f t="shared" si="84"/>
        <v/>
      </c>
      <c r="BY72" s="13" t="str">
        <f t="shared" si="85"/>
        <v/>
      </c>
      <c r="BZ72" s="13" t="str">
        <f t="shared" si="85"/>
        <v/>
      </c>
      <c r="CA72" s="13" t="str">
        <f t="shared" si="85"/>
        <v/>
      </c>
      <c r="CB72" s="13" t="str">
        <f t="shared" si="85"/>
        <v/>
      </c>
      <c r="CC72" s="13" t="str">
        <f t="shared" si="85"/>
        <v/>
      </c>
      <c r="CD72" s="13" t="str">
        <f t="shared" si="85"/>
        <v/>
      </c>
      <c r="CE72" s="13" t="str">
        <f t="shared" si="85"/>
        <v/>
      </c>
      <c r="CF72" s="13" t="str">
        <f t="shared" si="85"/>
        <v/>
      </c>
      <c r="CG72" s="13" t="str">
        <f t="shared" si="85"/>
        <v/>
      </c>
      <c r="CH72" s="13" t="str">
        <f t="shared" si="85"/>
        <v/>
      </c>
      <c r="CI72" s="13" t="str">
        <f t="shared" si="86"/>
        <v/>
      </c>
      <c r="CJ72" s="13" t="str">
        <f t="shared" si="86"/>
        <v/>
      </c>
      <c r="CK72" s="13" t="str">
        <f t="shared" si="86"/>
        <v/>
      </c>
      <c r="CL72" s="13" t="str">
        <f t="shared" si="86"/>
        <v/>
      </c>
      <c r="CM72" s="13" t="str">
        <f t="shared" si="86"/>
        <v/>
      </c>
      <c r="CN72" s="13" t="str">
        <f t="shared" si="86"/>
        <v/>
      </c>
      <c r="CO72" s="13" t="str">
        <f t="shared" si="86"/>
        <v/>
      </c>
      <c r="CP72" s="13" t="str">
        <f t="shared" si="86"/>
        <v/>
      </c>
      <c r="CQ72" s="13" t="str">
        <f t="shared" si="86"/>
        <v/>
      </c>
      <c r="CR72" s="13" t="str">
        <f t="shared" si="86"/>
        <v/>
      </c>
      <c r="CS72" s="13" t="str">
        <f t="shared" si="87"/>
        <v/>
      </c>
      <c r="CT72" s="13" t="str">
        <f t="shared" si="87"/>
        <v/>
      </c>
      <c r="CU72" s="13" t="str">
        <f t="shared" si="87"/>
        <v/>
      </c>
      <c r="CV72" s="13" t="str">
        <f t="shared" si="87"/>
        <v/>
      </c>
      <c r="CW72" s="13" t="str">
        <f t="shared" si="87"/>
        <v/>
      </c>
      <c r="CX72" s="13" t="str">
        <f t="shared" si="87"/>
        <v/>
      </c>
      <c r="CY72" s="13" t="str">
        <f t="shared" si="87"/>
        <v/>
      </c>
      <c r="CZ72" s="13" t="str">
        <f t="shared" si="87"/>
        <v/>
      </c>
      <c r="DA72" s="13" t="str">
        <f t="shared" si="87"/>
        <v/>
      </c>
      <c r="DB72" s="13" t="str">
        <f t="shared" si="87"/>
        <v/>
      </c>
      <c r="DC72" s="13" t="str">
        <f t="shared" si="88"/>
        <v/>
      </c>
      <c r="DD72" s="13" t="str">
        <f t="shared" si="88"/>
        <v/>
      </c>
      <c r="DE72" s="13" t="str">
        <f t="shared" si="88"/>
        <v/>
      </c>
      <c r="DF72" s="13" t="str">
        <f t="shared" si="88"/>
        <v/>
      </c>
      <c r="DG72" s="13" t="str">
        <f t="shared" si="88"/>
        <v/>
      </c>
      <c r="DH72" s="13" t="str">
        <f t="shared" si="88"/>
        <v/>
      </c>
      <c r="DI72" s="13" t="str">
        <f t="shared" si="88"/>
        <v/>
      </c>
      <c r="DJ72" s="13" t="str">
        <f t="shared" si="88"/>
        <v/>
      </c>
      <c r="DK72" s="13" t="str">
        <f t="shared" si="88"/>
        <v/>
      </c>
      <c r="DL72" s="13" t="str">
        <f t="shared" si="88"/>
        <v/>
      </c>
      <c r="DM72" s="13" t="str">
        <f t="shared" si="89"/>
        <v/>
      </c>
      <c r="DN72" s="13" t="str">
        <f t="shared" si="89"/>
        <v/>
      </c>
      <c r="DO72" s="13" t="str">
        <f t="shared" si="89"/>
        <v/>
      </c>
      <c r="DP72" s="13" t="str">
        <f t="shared" si="89"/>
        <v/>
      </c>
      <c r="DQ72" s="13" t="str">
        <f t="shared" si="89"/>
        <v/>
      </c>
      <c r="DR72" s="13" t="str">
        <f t="shared" si="89"/>
        <v/>
      </c>
      <c r="DS72" s="13" t="str">
        <f t="shared" si="89"/>
        <v/>
      </c>
      <c r="DT72" s="13" t="str">
        <f t="shared" si="89"/>
        <v/>
      </c>
      <c r="DU72" s="13" t="str">
        <f t="shared" si="89"/>
        <v/>
      </c>
      <c r="DV72" s="13" t="str">
        <f t="shared" si="89"/>
        <v/>
      </c>
      <c r="DW72" s="13" t="str">
        <f t="shared" si="90"/>
        <v/>
      </c>
      <c r="DX72" s="13" t="str">
        <f t="shared" si="90"/>
        <v/>
      </c>
      <c r="DY72" s="13" t="str">
        <f t="shared" si="90"/>
        <v/>
      </c>
      <c r="DZ72" s="13" t="str">
        <f t="shared" si="90"/>
        <v/>
      </c>
      <c r="EA72" s="13" t="str">
        <f t="shared" si="90"/>
        <v/>
      </c>
      <c r="EB72" s="13" t="str">
        <f t="shared" si="90"/>
        <v/>
      </c>
      <c r="EC72" s="13" t="str">
        <f t="shared" si="90"/>
        <v/>
      </c>
      <c r="ED72" s="13" t="str">
        <f t="shared" si="90"/>
        <v/>
      </c>
      <c r="EE72" s="13" t="str">
        <f t="shared" si="90"/>
        <v/>
      </c>
      <c r="EF72" s="13" t="str">
        <f t="shared" si="90"/>
        <v/>
      </c>
      <c r="EG72" s="13" t="str">
        <f t="shared" si="90"/>
        <v/>
      </c>
      <c r="EH72" s="13" t="str">
        <f t="shared" si="90"/>
        <v/>
      </c>
    </row>
    <row r="73" spans="1:138" ht="13.5" customHeight="1">
      <c r="A73" s="55" t="s">
        <v>153</v>
      </c>
      <c r="B73" s="56" t="s">
        <v>154</v>
      </c>
      <c r="C73" s="57" t="s">
        <v>137</v>
      </c>
      <c r="D73" s="9" t="s">
        <v>79</v>
      </c>
      <c r="E73" s="10">
        <v>46319</v>
      </c>
      <c r="F73" s="10">
        <v>46320</v>
      </c>
      <c r="G73" s="11" t="str">
        <f t="shared" si="78"/>
        <v/>
      </c>
      <c r="H73" s="11" t="str">
        <f t="shared" si="78"/>
        <v/>
      </c>
      <c r="I73" s="11" t="str">
        <f t="shared" si="78"/>
        <v/>
      </c>
      <c r="J73" s="11" t="str">
        <f t="shared" si="78"/>
        <v/>
      </c>
      <c r="K73" s="11" t="str">
        <f t="shared" si="78"/>
        <v/>
      </c>
      <c r="L73" s="11" t="str">
        <f t="shared" si="78"/>
        <v/>
      </c>
      <c r="M73" s="11" t="str">
        <f t="shared" si="78"/>
        <v/>
      </c>
      <c r="N73" s="11" t="str">
        <f t="shared" si="78"/>
        <v/>
      </c>
      <c r="O73" s="11" t="str">
        <f t="shared" si="78"/>
        <v/>
      </c>
      <c r="P73" s="11" t="str">
        <f t="shared" si="78"/>
        <v/>
      </c>
      <c r="Q73" s="11" t="str">
        <f t="shared" si="79"/>
        <v/>
      </c>
      <c r="R73" s="11" t="str">
        <f t="shared" si="79"/>
        <v/>
      </c>
      <c r="S73" s="11" t="str">
        <f t="shared" si="79"/>
        <v/>
      </c>
      <c r="T73" s="11" t="str">
        <f t="shared" si="79"/>
        <v/>
      </c>
      <c r="U73" s="11" t="str">
        <f t="shared" si="79"/>
        <v/>
      </c>
      <c r="V73" s="11" t="str">
        <f t="shared" si="79"/>
        <v/>
      </c>
      <c r="W73" s="11" t="str">
        <f t="shared" si="79"/>
        <v/>
      </c>
      <c r="X73" s="11" t="str">
        <f t="shared" si="79"/>
        <v/>
      </c>
      <c r="Y73" s="11" t="str">
        <f t="shared" si="79"/>
        <v/>
      </c>
      <c r="Z73" s="11" t="str">
        <f t="shared" si="79"/>
        <v/>
      </c>
      <c r="AA73" s="11" t="str">
        <f t="shared" si="80"/>
        <v/>
      </c>
      <c r="AB73" s="11" t="str">
        <f t="shared" si="80"/>
        <v/>
      </c>
      <c r="AC73" s="11" t="str">
        <f t="shared" si="80"/>
        <v/>
      </c>
      <c r="AD73" s="11" t="str">
        <f t="shared" si="80"/>
        <v/>
      </c>
      <c r="AE73" s="11" t="str">
        <f t="shared" si="80"/>
        <v/>
      </c>
      <c r="AF73" s="11" t="str">
        <f t="shared" si="80"/>
        <v/>
      </c>
      <c r="AG73" s="11" t="str">
        <f t="shared" si="80"/>
        <v/>
      </c>
      <c r="AH73" s="11" t="str">
        <f t="shared" si="80"/>
        <v/>
      </c>
      <c r="AI73" s="11" t="str">
        <f t="shared" si="80"/>
        <v/>
      </c>
      <c r="AJ73" s="11" t="str">
        <f t="shared" si="80"/>
        <v/>
      </c>
      <c r="AK73" s="11" t="str">
        <f t="shared" si="81"/>
        <v/>
      </c>
      <c r="AL73" s="11" t="str">
        <f t="shared" si="81"/>
        <v/>
      </c>
      <c r="AM73" s="11" t="str">
        <f t="shared" si="81"/>
        <v/>
      </c>
      <c r="AN73" s="11" t="str">
        <f t="shared" si="81"/>
        <v/>
      </c>
      <c r="AO73" s="11" t="str">
        <f t="shared" si="81"/>
        <v/>
      </c>
      <c r="AP73" s="11" t="str">
        <f t="shared" si="81"/>
        <v/>
      </c>
      <c r="AQ73" s="11" t="str">
        <f t="shared" si="81"/>
        <v/>
      </c>
      <c r="AR73" s="11" t="str">
        <f t="shared" si="81"/>
        <v/>
      </c>
      <c r="AS73" s="11" t="str">
        <f t="shared" si="81"/>
        <v/>
      </c>
      <c r="AT73" s="11" t="str">
        <f t="shared" si="81"/>
        <v/>
      </c>
      <c r="AU73" s="11" t="str">
        <f t="shared" si="82"/>
        <v/>
      </c>
      <c r="AV73" s="11" t="str">
        <f t="shared" si="82"/>
        <v/>
      </c>
      <c r="AW73" s="11" t="str">
        <f t="shared" si="82"/>
        <v/>
      </c>
      <c r="AX73" s="11" t="str">
        <f t="shared" si="82"/>
        <v/>
      </c>
      <c r="AY73" s="11" t="str">
        <f t="shared" si="82"/>
        <v/>
      </c>
      <c r="AZ73" s="11" t="str">
        <f t="shared" si="82"/>
        <v/>
      </c>
      <c r="BA73" s="11" t="str">
        <f t="shared" si="82"/>
        <v/>
      </c>
      <c r="BB73" s="11" t="str">
        <f t="shared" si="82"/>
        <v/>
      </c>
      <c r="BC73" s="11" t="str">
        <f t="shared" si="82"/>
        <v/>
      </c>
      <c r="BD73" s="11" t="str">
        <f t="shared" si="82"/>
        <v/>
      </c>
      <c r="BE73" s="11" t="str">
        <f t="shared" si="83"/>
        <v/>
      </c>
      <c r="BF73" s="11" t="str">
        <f t="shared" si="83"/>
        <v/>
      </c>
      <c r="BG73" s="11" t="str">
        <f t="shared" si="83"/>
        <v/>
      </c>
      <c r="BH73" s="11" t="str">
        <f t="shared" si="83"/>
        <v/>
      </c>
      <c r="BI73" s="11" t="str">
        <f t="shared" si="83"/>
        <v/>
      </c>
      <c r="BJ73" s="11" t="str">
        <f t="shared" si="83"/>
        <v/>
      </c>
      <c r="BK73" s="11" t="str">
        <f t="shared" si="83"/>
        <v/>
      </c>
      <c r="BL73" s="11" t="str">
        <f t="shared" si="83"/>
        <v/>
      </c>
      <c r="BM73" s="11" t="str">
        <f t="shared" si="83"/>
        <v/>
      </c>
      <c r="BN73" s="11" t="str">
        <f t="shared" si="83"/>
        <v/>
      </c>
      <c r="BO73" s="11" t="str">
        <f t="shared" si="84"/>
        <v/>
      </c>
      <c r="BP73" s="11" t="str">
        <f t="shared" si="84"/>
        <v/>
      </c>
      <c r="BQ73" s="11" t="str">
        <f t="shared" si="84"/>
        <v/>
      </c>
      <c r="BR73" s="11" t="str">
        <f t="shared" si="84"/>
        <v/>
      </c>
      <c r="BS73" s="11" t="str">
        <f t="shared" si="84"/>
        <v/>
      </c>
      <c r="BT73" s="11" t="str">
        <f t="shared" si="84"/>
        <v/>
      </c>
      <c r="BU73" s="11" t="str">
        <f t="shared" si="84"/>
        <v/>
      </c>
      <c r="BV73" s="11" t="str">
        <f t="shared" si="84"/>
        <v/>
      </c>
      <c r="BW73" s="11" t="str">
        <f t="shared" si="84"/>
        <v/>
      </c>
      <c r="BX73" s="11" t="str">
        <f t="shared" si="84"/>
        <v/>
      </c>
      <c r="BY73" s="11" t="str">
        <f t="shared" si="85"/>
        <v/>
      </c>
      <c r="BZ73" s="11" t="str">
        <f t="shared" si="85"/>
        <v/>
      </c>
      <c r="CA73" s="11" t="str">
        <f t="shared" si="85"/>
        <v/>
      </c>
      <c r="CB73" s="11" t="str">
        <f t="shared" si="85"/>
        <v/>
      </c>
      <c r="CC73" s="11" t="str">
        <f t="shared" si="85"/>
        <v/>
      </c>
      <c r="CD73" s="11" t="str">
        <f t="shared" si="85"/>
        <v/>
      </c>
      <c r="CE73" s="11" t="str">
        <f t="shared" si="85"/>
        <v/>
      </c>
      <c r="CF73" s="11" t="str">
        <f t="shared" si="85"/>
        <v/>
      </c>
      <c r="CG73" s="11" t="str">
        <f t="shared" si="85"/>
        <v/>
      </c>
      <c r="CH73" s="11" t="str">
        <f t="shared" si="85"/>
        <v/>
      </c>
      <c r="CI73" s="11" t="str">
        <f t="shared" si="86"/>
        <v/>
      </c>
      <c r="CJ73" s="11" t="str">
        <f t="shared" si="86"/>
        <v/>
      </c>
      <c r="CK73" s="11" t="str">
        <f t="shared" si="86"/>
        <v/>
      </c>
      <c r="CL73" s="11" t="str">
        <f t="shared" si="86"/>
        <v/>
      </c>
      <c r="CM73" s="11" t="str">
        <f t="shared" si="86"/>
        <v>▪</v>
      </c>
      <c r="CN73" s="11" t="str">
        <f t="shared" si="86"/>
        <v>▪</v>
      </c>
      <c r="CO73" s="11" t="str">
        <f t="shared" si="86"/>
        <v/>
      </c>
      <c r="CP73" s="11" t="str">
        <f t="shared" si="86"/>
        <v/>
      </c>
      <c r="CQ73" s="11" t="str">
        <f t="shared" si="86"/>
        <v/>
      </c>
      <c r="CR73" s="11" t="str">
        <f t="shared" si="86"/>
        <v/>
      </c>
      <c r="CS73" s="11" t="str">
        <f t="shared" si="87"/>
        <v/>
      </c>
      <c r="CT73" s="11" t="str">
        <f t="shared" si="87"/>
        <v/>
      </c>
      <c r="CU73" s="11" t="str">
        <f t="shared" si="87"/>
        <v/>
      </c>
      <c r="CV73" s="11" t="str">
        <f t="shared" si="87"/>
        <v/>
      </c>
      <c r="CW73" s="11" t="str">
        <f t="shared" si="87"/>
        <v/>
      </c>
      <c r="CX73" s="11" t="str">
        <f t="shared" si="87"/>
        <v/>
      </c>
      <c r="CY73" s="11" t="str">
        <f t="shared" si="87"/>
        <v/>
      </c>
      <c r="CZ73" s="11" t="str">
        <f t="shared" si="87"/>
        <v/>
      </c>
      <c r="DA73" s="11" t="str">
        <f t="shared" si="87"/>
        <v/>
      </c>
      <c r="DB73" s="11" t="str">
        <f t="shared" si="87"/>
        <v/>
      </c>
      <c r="DC73" s="11" t="str">
        <f t="shared" si="88"/>
        <v/>
      </c>
      <c r="DD73" s="11" t="str">
        <f t="shared" si="88"/>
        <v/>
      </c>
      <c r="DE73" s="11" t="str">
        <f t="shared" si="88"/>
        <v/>
      </c>
      <c r="DF73" s="11" t="str">
        <f t="shared" si="88"/>
        <v/>
      </c>
      <c r="DG73" s="11" t="str">
        <f t="shared" si="88"/>
        <v/>
      </c>
      <c r="DH73" s="11" t="str">
        <f t="shared" si="88"/>
        <v/>
      </c>
      <c r="DI73" s="11" t="str">
        <f t="shared" si="88"/>
        <v/>
      </c>
      <c r="DJ73" s="11" t="str">
        <f t="shared" si="88"/>
        <v/>
      </c>
      <c r="DK73" s="11" t="str">
        <f t="shared" si="88"/>
        <v/>
      </c>
      <c r="DL73" s="11" t="str">
        <f t="shared" si="88"/>
        <v/>
      </c>
      <c r="DM73" s="11" t="str">
        <f t="shared" si="89"/>
        <v/>
      </c>
      <c r="DN73" s="11" t="str">
        <f t="shared" si="89"/>
        <v/>
      </c>
      <c r="DO73" s="11" t="str">
        <f t="shared" si="89"/>
        <v/>
      </c>
      <c r="DP73" s="11" t="str">
        <f t="shared" si="89"/>
        <v/>
      </c>
      <c r="DQ73" s="11" t="str">
        <f t="shared" si="89"/>
        <v/>
      </c>
      <c r="DR73" s="11" t="str">
        <f t="shared" si="89"/>
        <v/>
      </c>
      <c r="DS73" s="11" t="str">
        <f t="shared" si="89"/>
        <v/>
      </c>
      <c r="DT73" s="11" t="str">
        <f t="shared" si="89"/>
        <v/>
      </c>
      <c r="DU73" s="11" t="str">
        <f t="shared" si="89"/>
        <v/>
      </c>
      <c r="DV73" s="11" t="str">
        <f t="shared" si="89"/>
        <v/>
      </c>
      <c r="DW73" s="11" t="str">
        <f t="shared" si="90"/>
        <v/>
      </c>
      <c r="DX73" s="11" t="str">
        <f t="shared" si="90"/>
        <v/>
      </c>
      <c r="DY73" s="11" t="str">
        <f t="shared" si="90"/>
        <v/>
      </c>
      <c r="DZ73" s="11" t="str">
        <f t="shared" si="90"/>
        <v/>
      </c>
      <c r="EA73" s="11" t="str">
        <f t="shared" si="90"/>
        <v/>
      </c>
      <c r="EB73" s="11" t="str">
        <f t="shared" si="90"/>
        <v/>
      </c>
      <c r="EC73" s="11" t="str">
        <f t="shared" si="90"/>
        <v/>
      </c>
      <c r="ED73" s="11" t="str">
        <f t="shared" si="90"/>
        <v/>
      </c>
      <c r="EE73" s="11" t="str">
        <f t="shared" si="90"/>
        <v/>
      </c>
      <c r="EF73" s="11" t="str">
        <f t="shared" si="90"/>
        <v/>
      </c>
      <c r="EG73" s="11" t="str">
        <f t="shared" si="90"/>
        <v/>
      </c>
      <c r="EH73" s="11" t="str">
        <f t="shared" si="90"/>
        <v/>
      </c>
    </row>
    <row r="74" spans="1:138" ht="13.5" customHeight="1">
      <c r="A74" s="55"/>
      <c r="B74" s="55"/>
      <c r="C74" s="55"/>
      <c r="D74" s="12" t="s">
        <v>80</v>
      </c>
      <c r="E74" s="10">
        <v>46286</v>
      </c>
      <c r="F74" s="10">
        <v>46291</v>
      </c>
      <c r="G74" s="13" t="str">
        <f t="shared" si="78"/>
        <v/>
      </c>
      <c r="H74" s="13" t="str">
        <f t="shared" si="78"/>
        <v/>
      </c>
      <c r="I74" s="13" t="str">
        <f t="shared" si="78"/>
        <v/>
      </c>
      <c r="J74" s="13" t="str">
        <f t="shared" si="78"/>
        <v/>
      </c>
      <c r="K74" s="13" t="str">
        <f t="shared" si="78"/>
        <v/>
      </c>
      <c r="L74" s="13" t="str">
        <f t="shared" si="78"/>
        <v/>
      </c>
      <c r="M74" s="13" t="str">
        <f t="shared" si="78"/>
        <v/>
      </c>
      <c r="N74" s="13" t="str">
        <f t="shared" si="78"/>
        <v/>
      </c>
      <c r="O74" s="13" t="str">
        <f t="shared" si="78"/>
        <v/>
      </c>
      <c r="P74" s="13" t="str">
        <f t="shared" si="78"/>
        <v/>
      </c>
      <c r="Q74" s="13" t="str">
        <f t="shared" si="79"/>
        <v/>
      </c>
      <c r="R74" s="13" t="str">
        <f t="shared" si="79"/>
        <v/>
      </c>
      <c r="S74" s="13" t="str">
        <f t="shared" si="79"/>
        <v/>
      </c>
      <c r="T74" s="13" t="str">
        <f t="shared" si="79"/>
        <v/>
      </c>
      <c r="U74" s="13" t="str">
        <f t="shared" si="79"/>
        <v/>
      </c>
      <c r="V74" s="13" t="str">
        <f t="shared" si="79"/>
        <v/>
      </c>
      <c r="W74" s="13" t="str">
        <f t="shared" si="79"/>
        <v/>
      </c>
      <c r="X74" s="13" t="str">
        <f t="shared" si="79"/>
        <v/>
      </c>
      <c r="Y74" s="13" t="str">
        <f t="shared" si="79"/>
        <v/>
      </c>
      <c r="Z74" s="13" t="str">
        <f t="shared" si="79"/>
        <v/>
      </c>
      <c r="AA74" s="13" t="str">
        <f t="shared" si="80"/>
        <v/>
      </c>
      <c r="AB74" s="13" t="str">
        <f t="shared" si="80"/>
        <v/>
      </c>
      <c r="AC74" s="13" t="str">
        <f t="shared" si="80"/>
        <v/>
      </c>
      <c r="AD74" s="13" t="str">
        <f t="shared" si="80"/>
        <v/>
      </c>
      <c r="AE74" s="13" t="str">
        <f t="shared" si="80"/>
        <v/>
      </c>
      <c r="AF74" s="13" t="str">
        <f t="shared" si="80"/>
        <v/>
      </c>
      <c r="AG74" s="13" t="str">
        <f t="shared" si="80"/>
        <v/>
      </c>
      <c r="AH74" s="13" t="str">
        <f t="shared" si="80"/>
        <v/>
      </c>
      <c r="AI74" s="13" t="str">
        <f t="shared" si="80"/>
        <v/>
      </c>
      <c r="AJ74" s="13" t="str">
        <f t="shared" si="80"/>
        <v/>
      </c>
      <c r="AK74" s="13" t="str">
        <f t="shared" si="81"/>
        <v/>
      </c>
      <c r="AL74" s="13" t="str">
        <f t="shared" si="81"/>
        <v/>
      </c>
      <c r="AM74" s="13" t="str">
        <f t="shared" si="81"/>
        <v/>
      </c>
      <c r="AN74" s="13" t="str">
        <f t="shared" si="81"/>
        <v/>
      </c>
      <c r="AO74" s="13" t="str">
        <f t="shared" si="81"/>
        <v/>
      </c>
      <c r="AP74" s="13" t="str">
        <f t="shared" si="81"/>
        <v/>
      </c>
      <c r="AQ74" s="13" t="str">
        <f t="shared" si="81"/>
        <v/>
      </c>
      <c r="AR74" s="13" t="str">
        <f t="shared" si="81"/>
        <v/>
      </c>
      <c r="AS74" s="13" t="str">
        <f t="shared" si="81"/>
        <v/>
      </c>
      <c r="AT74" s="13" t="str">
        <f t="shared" si="81"/>
        <v/>
      </c>
      <c r="AU74" s="13" t="str">
        <f t="shared" si="82"/>
        <v/>
      </c>
      <c r="AV74" s="13" t="str">
        <f t="shared" si="82"/>
        <v/>
      </c>
      <c r="AW74" s="13" t="str">
        <f t="shared" si="82"/>
        <v/>
      </c>
      <c r="AX74" s="13" t="str">
        <f t="shared" si="82"/>
        <v/>
      </c>
      <c r="AY74" s="13" t="str">
        <f t="shared" si="82"/>
        <v/>
      </c>
      <c r="AZ74" s="13" t="str">
        <f t="shared" si="82"/>
        <v/>
      </c>
      <c r="BA74" s="13" t="str">
        <f t="shared" si="82"/>
        <v/>
      </c>
      <c r="BB74" s="13" t="str">
        <f t="shared" si="82"/>
        <v/>
      </c>
      <c r="BC74" s="13" t="str">
        <f t="shared" si="82"/>
        <v/>
      </c>
      <c r="BD74" s="13" t="str">
        <f t="shared" si="82"/>
        <v/>
      </c>
      <c r="BE74" s="13" t="str">
        <f t="shared" si="83"/>
        <v/>
      </c>
      <c r="BF74" s="13" t="str">
        <f t="shared" si="83"/>
        <v>▪</v>
      </c>
      <c r="BG74" s="13" t="str">
        <f t="shared" si="83"/>
        <v>▪</v>
      </c>
      <c r="BH74" s="13" t="str">
        <f t="shared" si="83"/>
        <v>▪</v>
      </c>
      <c r="BI74" s="13" t="str">
        <f t="shared" si="83"/>
        <v>▪</v>
      </c>
      <c r="BJ74" s="13" t="str">
        <f t="shared" si="83"/>
        <v>▪</v>
      </c>
      <c r="BK74" s="13" t="str">
        <f t="shared" si="83"/>
        <v>▪</v>
      </c>
      <c r="BL74" s="13" t="str">
        <f t="shared" si="83"/>
        <v/>
      </c>
      <c r="BM74" s="13" t="str">
        <f t="shared" si="83"/>
        <v/>
      </c>
      <c r="BN74" s="13" t="str">
        <f t="shared" si="83"/>
        <v/>
      </c>
      <c r="BO74" s="13" t="str">
        <f t="shared" si="84"/>
        <v/>
      </c>
      <c r="BP74" s="13" t="str">
        <f t="shared" si="84"/>
        <v/>
      </c>
      <c r="BQ74" s="13" t="str">
        <f t="shared" si="84"/>
        <v/>
      </c>
      <c r="BR74" s="13" t="str">
        <f t="shared" si="84"/>
        <v/>
      </c>
      <c r="BS74" s="13" t="str">
        <f t="shared" si="84"/>
        <v/>
      </c>
      <c r="BT74" s="13" t="str">
        <f t="shared" si="84"/>
        <v/>
      </c>
      <c r="BU74" s="13" t="str">
        <f t="shared" si="84"/>
        <v/>
      </c>
      <c r="BV74" s="13" t="str">
        <f t="shared" si="84"/>
        <v/>
      </c>
      <c r="BW74" s="13" t="str">
        <f t="shared" si="84"/>
        <v/>
      </c>
      <c r="BX74" s="13" t="str">
        <f t="shared" si="84"/>
        <v/>
      </c>
      <c r="BY74" s="13" t="str">
        <f t="shared" si="85"/>
        <v/>
      </c>
      <c r="BZ74" s="13" t="str">
        <f t="shared" si="85"/>
        <v/>
      </c>
      <c r="CA74" s="13" t="str">
        <f t="shared" si="85"/>
        <v/>
      </c>
      <c r="CB74" s="13" t="str">
        <f t="shared" si="85"/>
        <v/>
      </c>
      <c r="CC74" s="13" t="str">
        <f t="shared" si="85"/>
        <v/>
      </c>
      <c r="CD74" s="13" t="str">
        <f t="shared" si="85"/>
        <v/>
      </c>
      <c r="CE74" s="13" t="str">
        <f t="shared" si="85"/>
        <v/>
      </c>
      <c r="CF74" s="13" t="str">
        <f t="shared" si="85"/>
        <v/>
      </c>
      <c r="CG74" s="13" t="str">
        <f t="shared" si="85"/>
        <v/>
      </c>
      <c r="CH74" s="13" t="str">
        <f t="shared" si="85"/>
        <v/>
      </c>
      <c r="CI74" s="13" t="str">
        <f t="shared" si="86"/>
        <v/>
      </c>
      <c r="CJ74" s="13" t="str">
        <f t="shared" si="86"/>
        <v/>
      </c>
      <c r="CK74" s="13" t="str">
        <f t="shared" si="86"/>
        <v/>
      </c>
      <c r="CL74" s="13" t="str">
        <f t="shared" si="86"/>
        <v/>
      </c>
      <c r="CM74" s="13" t="str">
        <f t="shared" si="86"/>
        <v/>
      </c>
      <c r="CN74" s="13" t="str">
        <f t="shared" si="86"/>
        <v/>
      </c>
      <c r="CO74" s="13" t="str">
        <f t="shared" si="86"/>
        <v/>
      </c>
      <c r="CP74" s="13" t="str">
        <f t="shared" si="86"/>
        <v/>
      </c>
      <c r="CQ74" s="13" t="str">
        <f t="shared" si="86"/>
        <v/>
      </c>
      <c r="CR74" s="13" t="str">
        <f t="shared" si="86"/>
        <v/>
      </c>
      <c r="CS74" s="13" t="str">
        <f t="shared" si="87"/>
        <v/>
      </c>
      <c r="CT74" s="13" t="str">
        <f t="shared" si="87"/>
        <v/>
      </c>
      <c r="CU74" s="13" t="str">
        <f t="shared" si="87"/>
        <v/>
      </c>
      <c r="CV74" s="13" t="str">
        <f t="shared" si="87"/>
        <v/>
      </c>
      <c r="CW74" s="13" t="str">
        <f t="shared" si="87"/>
        <v/>
      </c>
      <c r="CX74" s="13" t="str">
        <f t="shared" si="87"/>
        <v/>
      </c>
      <c r="CY74" s="13" t="str">
        <f t="shared" si="87"/>
        <v/>
      </c>
      <c r="CZ74" s="13" t="str">
        <f t="shared" si="87"/>
        <v/>
      </c>
      <c r="DA74" s="13" t="str">
        <f t="shared" si="87"/>
        <v/>
      </c>
      <c r="DB74" s="13" t="str">
        <f t="shared" si="87"/>
        <v/>
      </c>
      <c r="DC74" s="13" t="str">
        <f t="shared" si="88"/>
        <v/>
      </c>
      <c r="DD74" s="13" t="str">
        <f t="shared" si="88"/>
        <v/>
      </c>
      <c r="DE74" s="13" t="str">
        <f t="shared" si="88"/>
        <v/>
      </c>
      <c r="DF74" s="13" t="str">
        <f t="shared" si="88"/>
        <v/>
      </c>
      <c r="DG74" s="13" t="str">
        <f t="shared" si="88"/>
        <v/>
      </c>
      <c r="DH74" s="13" t="str">
        <f t="shared" si="88"/>
        <v/>
      </c>
      <c r="DI74" s="13" t="str">
        <f t="shared" si="88"/>
        <v/>
      </c>
      <c r="DJ74" s="13" t="str">
        <f t="shared" si="88"/>
        <v/>
      </c>
      <c r="DK74" s="13" t="str">
        <f t="shared" si="88"/>
        <v/>
      </c>
      <c r="DL74" s="13" t="str">
        <f t="shared" si="88"/>
        <v/>
      </c>
      <c r="DM74" s="13" t="str">
        <f t="shared" si="89"/>
        <v/>
      </c>
      <c r="DN74" s="13" t="str">
        <f t="shared" si="89"/>
        <v/>
      </c>
      <c r="DO74" s="13" t="str">
        <f t="shared" si="89"/>
        <v/>
      </c>
      <c r="DP74" s="13" t="str">
        <f t="shared" si="89"/>
        <v/>
      </c>
      <c r="DQ74" s="13" t="str">
        <f t="shared" si="89"/>
        <v/>
      </c>
      <c r="DR74" s="13" t="str">
        <f t="shared" si="89"/>
        <v/>
      </c>
      <c r="DS74" s="13" t="str">
        <f t="shared" si="89"/>
        <v/>
      </c>
      <c r="DT74" s="13" t="str">
        <f t="shared" si="89"/>
        <v/>
      </c>
      <c r="DU74" s="13" t="str">
        <f t="shared" si="89"/>
        <v/>
      </c>
      <c r="DV74" s="13" t="str">
        <f t="shared" si="89"/>
        <v/>
      </c>
      <c r="DW74" s="13" t="str">
        <f t="shared" si="90"/>
        <v/>
      </c>
      <c r="DX74" s="13" t="str">
        <f t="shared" si="90"/>
        <v/>
      </c>
      <c r="DY74" s="13" t="str">
        <f t="shared" si="90"/>
        <v/>
      </c>
      <c r="DZ74" s="13" t="str">
        <f t="shared" si="90"/>
        <v/>
      </c>
      <c r="EA74" s="13" t="str">
        <f t="shared" si="90"/>
        <v/>
      </c>
      <c r="EB74" s="13" t="str">
        <f t="shared" si="90"/>
        <v/>
      </c>
      <c r="EC74" s="13" t="str">
        <f t="shared" si="90"/>
        <v/>
      </c>
      <c r="ED74" s="13" t="str">
        <f t="shared" si="90"/>
        <v/>
      </c>
      <c r="EE74" s="13" t="str">
        <f t="shared" si="90"/>
        <v/>
      </c>
      <c r="EF74" s="13" t="str">
        <f t="shared" si="90"/>
        <v/>
      </c>
      <c r="EG74" s="13" t="str">
        <f t="shared" si="90"/>
        <v/>
      </c>
      <c r="EH74" s="13" t="str">
        <f t="shared" si="90"/>
        <v/>
      </c>
    </row>
    <row r="75" spans="1:138" ht="13.5" customHeight="1">
      <c r="A75" s="55" t="s">
        <v>155</v>
      </c>
      <c r="B75" s="56" t="s">
        <v>156</v>
      </c>
      <c r="C75" s="57" t="s">
        <v>137</v>
      </c>
      <c r="D75" s="9" t="s">
        <v>79</v>
      </c>
      <c r="E75" s="10">
        <v>46321</v>
      </c>
      <c r="F75" s="10">
        <v>46323</v>
      </c>
      <c r="G75" s="11" t="str">
        <f t="shared" si="78"/>
        <v/>
      </c>
      <c r="H75" s="11" t="str">
        <f t="shared" si="78"/>
        <v/>
      </c>
      <c r="I75" s="11" t="str">
        <f t="shared" si="78"/>
        <v/>
      </c>
      <c r="J75" s="11" t="str">
        <f t="shared" si="78"/>
        <v/>
      </c>
      <c r="K75" s="11" t="str">
        <f t="shared" si="78"/>
        <v/>
      </c>
      <c r="L75" s="11" t="str">
        <f t="shared" si="78"/>
        <v/>
      </c>
      <c r="M75" s="11" t="str">
        <f t="shared" si="78"/>
        <v/>
      </c>
      <c r="N75" s="11" t="str">
        <f t="shared" si="78"/>
        <v/>
      </c>
      <c r="O75" s="11" t="str">
        <f t="shared" si="78"/>
        <v/>
      </c>
      <c r="P75" s="11" t="str">
        <f t="shared" si="78"/>
        <v/>
      </c>
      <c r="Q75" s="11" t="str">
        <f t="shared" si="79"/>
        <v/>
      </c>
      <c r="R75" s="11" t="str">
        <f t="shared" si="79"/>
        <v/>
      </c>
      <c r="S75" s="11" t="str">
        <f t="shared" si="79"/>
        <v/>
      </c>
      <c r="T75" s="11" t="str">
        <f t="shared" si="79"/>
        <v/>
      </c>
      <c r="U75" s="11" t="str">
        <f t="shared" si="79"/>
        <v/>
      </c>
      <c r="V75" s="11" t="str">
        <f t="shared" si="79"/>
        <v/>
      </c>
      <c r="W75" s="11" t="str">
        <f t="shared" si="79"/>
        <v/>
      </c>
      <c r="X75" s="11" t="str">
        <f t="shared" si="79"/>
        <v/>
      </c>
      <c r="Y75" s="11" t="str">
        <f t="shared" si="79"/>
        <v/>
      </c>
      <c r="Z75" s="11" t="str">
        <f t="shared" si="79"/>
        <v/>
      </c>
      <c r="AA75" s="11" t="str">
        <f t="shared" si="80"/>
        <v/>
      </c>
      <c r="AB75" s="11" t="str">
        <f t="shared" si="80"/>
        <v/>
      </c>
      <c r="AC75" s="11" t="str">
        <f t="shared" si="80"/>
        <v/>
      </c>
      <c r="AD75" s="11" t="str">
        <f t="shared" si="80"/>
        <v/>
      </c>
      <c r="AE75" s="11" t="str">
        <f t="shared" si="80"/>
        <v/>
      </c>
      <c r="AF75" s="11" t="str">
        <f t="shared" si="80"/>
        <v/>
      </c>
      <c r="AG75" s="11" t="str">
        <f t="shared" si="80"/>
        <v/>
      </c>
      <c r="AH75" s="11" t="str">
        <f t="shared" si="80"/>
        <v/>
      </c>
      <c r="AI75" s="11" t="str">
        <f t="shared" si="80"/>
        <v/>
      </c>
      <c r="AJ75" s="11" t="str">
        <f t="shared" si="80"/>
        <v/>
      </c>
      <c r="AK75" s="11" t="str">
        <f t="shared" si="81"/>
        <v/>
      </c>
      <c r="AL75" s="11" t="str">
        <f t="shared" si="81"/>
        <v/>
      </c>
      <c r="AM75" s="11" t="str">
        <f t="shared" si="81"/>
        <v/>
      </c>
      <c r="AN75" s="11" t="str">
        <f t="shared" si="81"/>
        <v/>
      </c>
      <c r="AO75" s="11" t="str">
        <f t="shared" si="81"/>
        <v/>
      </c>
      <c r="AP75" s="11" t="str">
        <f t="shared" si="81"/>
        <v/>
      </c>
      <c r="AQ75" s="11" t="str">
        <f t="shared" si="81"/>
        <v/>
      </c>
      <c r="AR75" s="11" t="str">
        <f t="shared" si="81"/>
        <v/>
      </c>
      <c r="AS75" s="11" t="str">
        <f t="shared" si="81"/>
        <v/>
      </c>
      <c r="AT75" s="11" t="str">
        <f t="shared" si="81"/>
        <v/>
      </c>
      <c r="AU75" s="11" t="str">
        <f t="shared" si="82"/>
        <v/>
      </c>
      <c r="AV75" s="11" t="str">
        <f t="shared" si="82"/>
        <v/>
      </c>
      <c r="AW75" s="11" t="str">
        <f t="shared" si="82"/>
        <v/>
      </c>
      <c r="AX75" s="11" t="str">
        <f t="shared" si="82"/>
        <v/>
      </c>
      <c r="AY75" s="11" t="str">
        <f t="shared" si="82"/>
        <v/>
      </c>
      <c r="AZ75" s="11" t="str">
        <f t="shared" si="82"/>
        <v/>
      </c>
      <c r="BA75" s="11" t="str">
        <f t="shared" si="82"/>
        <v/>
      </c>
      <c r="BB75" s="11" t="str">
        <f t="shared" si="82"/>
        <v/>
      </c>
      <c r="BC75" s="11" t="str">
        <f t="shared" si="82"/>
        <v/>
      </c>
      <c r="BD75" s="11" t="str">
        <f t="shared" si="82"/>
        <v/>
      </c>
      <c r="BE75" s="11" t="str">
        <f t="shared" si="83"/>
        <v/>
      </c>
      <c r="BF75" s="11" t="str">
        <f t="shared" si="83"/>
        <v/>
      </c>
      <c r="BG75" s="11" t="str">
        <f t="shared" si="83"/>
        <v/>
      </c>
      <c r="BH75" s="11" t="str">
        <f t="shared" si="83"/>
        <v/>
      </c>
      <c r="BI75" s="11" t="str">
        <f t="shared" si="83"/>
        <v/>
      </c>
      <c r="BJ75" s="11" t="str">
        <f t="shared" si="83"/>
        <v/>
      </c>
      <c r="BK75" s="11" t="str">
        <f t="shared" si="83"/>
        <v/>
      </c>
      <c r="BL75" s="11" t="str">
        <f t="shared" si="83"/>
        <v/>
      </c>
      <c r="BM75" s="11" t="str">
        <f t="shared" si="83"/>
        <v/>
      </c>
      <c r="BN75" s="11" t="str">
        <f t="shared" si="83"/>
        <v/>
      </c>
      <c r="BO75" s="11" t="str">
        <f t="shared" si="84"/>
        <v/>
      </c>
      <c r="BP75" s="11" t="str">
        <f t="shared" si="84"/>
        <v/>
      </c>
      <c r="BQ75" s="11" t="str">
        <f t="shared" si="84"/>
        <v/>
      </c>
      <c r="BR75" s="11" t="str">
        <f t="shared" si="84"/>
        <v/>
      </c>
      <c r="BS75" s="11" t="str">
        <f t="shared" si="84"/>
        <v/>
      </c>
      <c r="BT75" s="11" t="str">
        <f t="shared" si="84"/>
        <v/>
      </c>
      <c r="BU75" s="11" t="str">
        <f t="shared" si="84"/>
        <v/>
      </c>
      <c r="BV75" s="11" t="str">
        <f t="shared" si="84"/>
        <v/>
      </c>
      <c r="BW75" s="11" t="str">
        <f t="shared" si="84"/>
        <v/>
      </c>
      <c r="BX75" s="11" t="str">
        <f t="shared" si="84"/>
        <v/>
      </c>
      <c r="BY75" s="11" t="str">
        <f t="shared" si="85"/>
        <v/>
      </c>
      <c r="BZ75" s="11" t="str">
        <f t="shared" si="85"/>
        <v/>
      </c>
      <c r="CA75" s="11" t="str">
        <f t="shared" si="85"/>
        <v/>
      </c>
      <c r="CB75" s="11" t="str">
        <f t="shared" si="85"/>
        <v/>
      </c>
      <c r="CC75" s="11" t="str">
        <f t="shared" si="85"/>
        <v/>
      </c>
      <c r="CD75" s="11" t="str">
        <f t="shared" si="85"/>
        <v/>
      </c>
      <c r="CE75" s="11" t="str">
        <f t="shared" si="85"/>
        <v/>
      </c>
      <c r="CF75" s="11" t="str">
        <f t="shared" si="85"/>
        <v/>
      </c>
      <c r="CG75" s="11" t="str">
        <f t="shared" si="85"/>
        <v/>
      </c>
      <c r="CH75" s="11" t="str">
        <f t="shared" si="85"/>
        <v/>
      </c>
      <c r="CI75" s="11" t="str">
        <f t="shared" si="86"/>
        <v/>
      </c>
      <c r="CJ75" s="11" t="str">
        <f t="shared" si="86"/>
        <v/>
      </c>
      <c r="CK75" s="11" t="str">
        <f t="shared" si="86"/>
        <v/>
      </c>
      <c r="CL75" s="11" t="str">
        <f t="shared" si="86"/>
        <v/>
      </c>
      <c r="CM75" s="11" t="str">
        <f t="shared" si="86"/>
        <v/>
      </c>
      <c r="CN75" s="11" t="str">
        <f t="shared" si="86"/>
        <v/>
      </c>
      <c r="CO75" s="11" t="str">
        <f t="shared" si="86"/>
        <v>▪</v>
      </c>
      <c r="CP75" s="11" t="str">
        <f t="shared" si="86"/>
        <v>▪</v>
      </c>
      <c r="CQ75" s="11" t="str">
        <f t="shared" si="86"/>
        <v>▪</v>
      </c>
      <c r="CR75" s="11" t="str">
        <f t="shared" si="86"/>
        <v/>
      </c>
      <c r="CS75" s="11" t="str">
        <f t="shared" si="87"/>
        <v/>
      </c>
      <c r="CT75" s="11" t="str">
        <f t="shared" si="87"/>
        <v/>
      </c>
      <c r="CU75" s="11" t="str">
        <f t="shared" si="87"/>
        <v/>
      </c>
      <c r="CV75" s="11" t="str">
        <f t="shared" si="87"/>
        <v/>
      </c>
      <c r="CW75" s="11" t="str">
        <f t="shared" si="87"/>
        <v/>
      </c>
      <c r="CX75" s="11" t="str">
        <f t="shared" si="87"/>
        <v/>
      </c>
      <c r="CY75" s="11" t="str">
        <f t="shared" si="87"/>
        <v/>
      </c>
      <c r="CZ75" s="11" t="str">
        <f t="shared" si="87"/>
        <v/>
      </c>
      <c r="DA75" s="11" t="str">
        <f t="shared" si="87"/>
        <v/>
      </c>
      <c r="DB75" s="11" t="str">
        <f t="shared" si="87"/>
        <v/>
      </c>
      <c r="DC75" s="11" t="str">
        <f t="shared" si="88"/>
        <v/>
      </c>
      <c r="DD75" s="11" t="str">
        <f t="shared" si="88"/>
        <v/>
      </c>
      <c r="DE75" s="11" t="str">
        <f t="shared" si="88"/>
        <v/>
      </c>
      <c r="DF75" s="11" t="str">
        <f t="shared" si="88"/>
        <v/>
      </c>
      <c r="DG75" s="11" t="str">
        <f t="shared" si="88"/>
        <v/>
      </c>
      <c r="DH75" s="11" t="str">
        <f t="shared" si="88"/>
        <v/>
      </c>
      <c r="DI75" s="11" t="str">
        <f t="shared" si="88"/>
        <v/>
      </c>
      <c r="DJ75" s="11" t="str">
        <f t="shared" si="88"/>
        <v/>
      </c>
      <c r="DK75" s="11" t="str">
        <f t="shared" si="88"/>
        <v/>
      </c>
      <c r="DL75" s="11" t="str">
        <f t="shared" si="88"/>
        <v/>
      </c>
      <c r="DM75" s="11" t="str">
        <f t="shared" si="89"/>
        <v/>
      </c>
      <c r="DN75" s="11" t="str">
        <f t="shared" si="89"/>
        <v/>
      </c>
      <c r="DO75" s="11" t="str">
        <f t="shared" si="89"/>
        <v/>
      </c>
      <c r="DP75" s="11" t="str">
        <f t="shared" si="89"/>
        <v/>
      </c>
      <c r="DQ75" s="11" t="str">
        <f t="shared" si="89"/>
        <v/>
      </c>
      <c r="DR75" s="11" t="str">
        <f t="shared" si="89"/>
        <v/>
      </c>
      <c r="DS75" s="11" t="str">
        <f t="shared" si="89"/>
        <v/>
      </c>
      <c r="DT75" s="11" t="str">
        <f t="shared" si="89"/>
        <v/>
      </c>
      <c r="DU75" s="11" t="str">
        <f t="shared" si="89"/>
        <v/>
      </c>
      <c r="DV75" s="11" t="str">
        <f t="shared" si="89"/>
        <v/>
      </c>
      <c r="DW75" s="11" t="str">
        <f t="shared" si="90"/>
        <v/>
      </c>
      <c r="DX75" s="11" t="str">
        <f t="shared" si="90"/>
        <v/>
      </c>
      <c r="DY75" s="11" t="str">
        <f t="shared" si="90"/>
        <v/>
      </c>
      <c r="DZ75" s="11" t="str">
        <f t="shared" si="90"/>
        <v/>
      </c>
      <c r="EA75" s="11" t="str">
        <f t="shared" si="90"/>
        <v/>
      </c>
      <c r="EB75" s="11" t="str">
        <f t="shared" si="90"/>
        <v/>
      </c>
      <c r="EC75" s="11" t="str">
        <f t="shared" si="90"/>
        <v/>
      </c>
      <c r="ED75" s="11" t="str">
        <f t="shared" si="90"/>
        <v/>
      </c>
      <c r="EE75" s="11" t="str">
        <f t="shared" si="90"/>
        <v/>
      </c>
      <c r="EF75" s="11" t="str">
        <f t="shared" si="90"/>
        <v/>
      </c>
      <c r="EG75" s="11" t="str">
        <f t="shared" si="90"/>
        <v/>
      </c>
      <c r="EH75" s="11" t="str">
        <f t="shared" si="90"/>
        <v/>
      </c>
    </row>
    <row r="76" spans="1:138" ht="13.5" customHeight="1">
      <c r="A76" s="55"/>
      <c r="B76" s="55"/>
      <c r="C76" s="55"/>
      <c r="D76" s="12" t="s">
        <v>80</v>
      </c>
      <c r="E76" s="10">
        <v>46286</v>
      </c>
      <c r="F76" s="10">
        <v>46291</v>
      </c>
      <c r="G76" s="13" t="str">
        <f t="shared" si="78"/>
        <v/>
      </c>
      <c r="H76" s="13" t="str">
        <f t="shared" si="78"/>
        <v/>
      </c>
      <c r="I76" s="13" t="str">
        <f t="shared" si="78"/>
        <v/>
      </c>
      <c r="J76" s="13" t="str">
        <f t="shared" si="78"/>
        <v/>
      </c>
      <c r="K76" s="13" t="str">
        <f t="shared" si="78"/>
        <v/>
      </c>
      <c r="L76" s="13" t="str">
        <f t="shared" si="78"/>
        <v/>
      </c>
      <c r="M76" s="13" t="str">
        <f t="shared" si="78"/>
        <v/>
      </c>
      <c r="N76" s="13" t="str">
        <f t="shared" si="78"/>
        <v/>
      </c>
      <c r="O76" s="13" t="str">
        <f t="shared" si="78"/>
        <v/>
      </c>
      <c r="P76" s="13" t="str">
        <f t="shared" si="78"/>
        <v/>
      </c>
      <c r="Q76" s="13" t="str">
        <f t="shared" si="79"/>
        <v/>
      </c>
      <c r="R76" s="13" t="str">
        <f t="shared" si="79"/>
        <v/>
      </c>
      <c r="S76" s="13" t="str">
        <f t="shared" si="79"/>
        <v/>
      </c>
      <c r="T76" s="13" t="str">
        <f t="shared" si="79"/>
        <v/>
      </c>
      <c r="U76" s="13" t="str">
        <f t="shared" si="79"/>
        <v/>
      </c>
      <c r="V76" s="13" t="str">
        <f t="shared" si="79"/>
        <v/>
      </c>
      <c r="W76" s="13" t="str">
        <f t="shared" si="79"/>
        <v/>
      </c>
      <c r="X76" s="13" t="str">
        <f t="shared" si="79"/>
        <v/>
      </c>
      <c r="Y76" s="13" t="str">
        <f t="shared" si="79"/>
        <v/>
      </c>
      <c r="Z76" s="13" t="str">
        <f t="shared" si="79"/>
        <v/>
      </c>
      <c r="AA76" s="13" t="str">
        <f t="shared" si="80"/>
        <v/>
      </c>
      <c r="AB76" s="13" t="str">
        <f t="shared" si="80"/>
        <v/>
      </c>
      <c r="AC76" s="13" t="str">
        <f t="shared" si="80"/>
        <v/>
      </c>
      <c r="AD76" s="13" t="str">
        <f t="shared" si="80"/>
        <v/>
      </c>
      <c r="AE76" s="13" t="str">
        <f t="shared" si="80"/>
        <v/>
      </c>
      <c r="AF76" s="13" t="str">
        <f t="shared" si="80"/>
        <v/>
      </c>
      <c r="AG76" s="13" t="str">
        <f t="shared" si="80"/>
        <v/>
      </c>
      <c r="AH76" s="13" t="str">
        <f t="shared" si="80"/>
        <v/>
      </c>
      <c r="AI76" s="13" t="str">
        <f t="shared" si="80"/>
        <v/>
      </c>
      <c r="AJ76" s="13" t="str">
        <f t="shared" si="80"/>
        <v/>
      </c>
      <c r="AK76" s="13" t="str">
        <f t="shared" si="81"/>
        <v/>
      </c>
      <c r="AL76" s="13" t="str">
        <f t="shared" si="81"/>
        <v/>
      </c>
      <c r="AM76" s="13" t="str">
        <f t="shared" si="81"/>
        <v/>
      </c>
      <c r="AN76" s="13" t="str">
        <f t="shared" si="81"/>
        <v/>
      </c>
      <c r="AO76" s="13" t="str">
        <f t="shared" si="81"/>
        <v/>
      </c>
      <c r="AP76" s="13" t="str">
        <f t="shared" si="81"/>
        <v/>
      </c>
      <c r="AQ76" s="13" t="str">
        <f t="shared" si="81"/>
        <v/>
      </c>
      <c r="AR76" s="13" t="str">
        <f t="shared" si="81"/>
        <v/>
      </c>
      <c r="AS76" s="13" t="str">
        <f t="shared" si="81"/>
        <v/>
      </c>
      <c r="AT76" s="13" t="str">
        <f t="shared" si="81"/>
        <v/>
      </c>
      <c r="AU76" s="13" t="str">
        <f t="shared" si="82"/>
        <v/>
      </c>
      <c r="AV76" s="13" t="str">
        <f t="shared" si="82"/>
        <v/>
      </c>
      <c r="AW76" s="13" t="str">
        <f t="shared" si="82"/>
        <v/>
      </c>
      <c r="AX76" s="13" t="str">
        <f t="shared" si="82"/>
        <v/>
      </c>
      <c r="AY76" s="13" t="str">
        <f t="shared" si="82"/>
        <v/>
      </c>
      <c r="AZ76" s="13" t="str">
        <f t="shared" si="82"/>
        <v/>
      </c>
      <c r="BA76" s="13" t="str">
        <f t="shared" si="82"/>
        <v/>
      </c>
      <c r="BB76" s="13" t="str">
        <f t="shared" si="82"/>
        <v/>
      </c>
      <c r="BC76" s="13" t="str">
        <f t="shared" si="82"/>
        <v/>
      </c>
      <c r="BD76" s="13" t="str">
        <f t="shared" si="82"/>
        <v/>
      </c>
      <c r="BE76" s="13" t="str">
        <f t="shared" si="83"/>
        <v/>
      </c>
      <c r="BF76" s="13" t="str">
        <f t="shared" si="83"/>
        <v>▪</v>
      </c>
      <c r="BG76" s="13" t="str">
        <f t="shared" si="83"/>
        <v>▪</v>
      </c>
      <c r="BH76" s="13" t="str">
        <f t="shared" si="83"/>
        <v>▪</v>
      </c>
      <c r="BI76" s="13" t="str">
        <f t="shared" si="83"/>
        <v>▪</v>
      </c>
      <c r="BJ76" s="13" t="str">
        <f t="shared" si="83"/>
        <v>▪</v>
      </c>
      <c r="BK76" s="13" t="str">
        <f t="shared" si="83"/>
        <v>▪</v>
      </c>
      <c r="BL76" s="13" t="str">
        <f t="shared" si="83"/>
        <v/>
      </c>
      <c r="BM76" s="13" t="str">
        <f t="shared" si="83"/>
        <v/>
      </c>
      <c r="BN76" s="13" t="str">
        <f t="shared" si="83"/>
        <v/>
      </c>
      <c r="BO76" s="13" t="str">
        <f t="shared" si="84"/>
        <v/>
      </c>
      <c r="BP76" s="13" t="str">
        <f t="shared" si="84"/>
        <v/>
      </c>
      <c r="BQ76" s="13" t="str">
        <f t="shared" si="84"/>
        <v/>
      </c>
      <c r="BR76" s="13" t="str">
        <f t="shared" si="84"/>
        <v/>
      </c>
      <c r="BS76" s="13" t="str">
        <f t="shared" si="84"/>
        <v/>
      </c>
      <c r="BT76" s="13" t="str">
        <f t="shared" si="84"/>
        <v/>
      </c>
      <c r="BU76" s="13" t="str">
        <f t="shared" si="84"/>
        <v/>
      </c>
      <c r="BV76" s="13" t="str">
        <f t="shared" si="84"/>
        <v/>
      </c>
      <c r="BW76" s="13" t="str">
        <f t="shared" si="84"/>
        <v/>
      </c>
      <c r="BX76" s="13" t="str">
        <f t="shared" si="84"/>
        <v/>
      </c>
      <c r="BY76" s="13" t="str">
        <f t="shared" si="85"/>
        <v/>
      </c>
      <c r="BZ76" s="13" t="str">
        <f t="shared" si="85"/>
        <v/>
      </c>
      <c r="CA76" s="13" t="str">
        <f t="shared" si="85"/>
        <v/>
      </c>
      <c r="CB76" s="13" t="str">
        <f t="shared" si="85"/>
        <v/>
      </c>
      <c r="CC76" s="13" t="str">
        <f t="shared" si="85"/>
        <v/>
      </c>
      <c r="CD76" s="13" t="str">
        <f t="shared" si="85"/>
        <v/>
      </c>
      <c r="CE76" s="13" t="str">
        <f t="shared" si="85"/>
        <v/>
      </c>
      <c r="CF76" s="13" t="str">
        <f t="shared" si="85"/>
        <v/>
      </c>
      <c r="CG76" s="13" t="str">
        <f t="shared" si="85"/>
        <v/>
      </c>
      <c r="CH76" s="13" t="str">
        <f t="shared" si="85"/>
        <v/>
      </c>
      <c r="CI76" s="13" t="str">
        <f t="shared" si="86"/>
        <v/>
      </c>
      <c r="CJ76" s="13" t="str">
        <f t="shared" si="86"/>
        <v/>
      </c>
      <c r="CK76" s="13" t="str">
        <f t="shared" si="86"/>
        <v/>
      </c>
      <c r="CL76" s="13" t="str">
        <f t="shared" si="86"/>
        <v/>
      </c>
      <c r="CM76" s="13" t="str">
        <f t="shared" si="86"/>
        <v/>
      </c>
      <c r="CN76" s="13" t="str">
        <f t="shared" si="86"/>
        <v/>
      </c>
      <c r="CO76" s="13" t="str">
        <f t="shared" si="86"/>
        <v/>
      </c>
      <c r="CP76" s="13" t="str">
        <f t="shared" si="86"/>
        <v/>
      </c>
      <c r="CQ76" s="13" t="str">
        <f t="shared" si="86"/>
        <v/>
      </c>
      <c r="CR76" s="13" t="str">
        <f t="shared" si="86"/>
        <v/>
      </c>
      <c r="CS76" s="13" t="str">
        <f t="shared" si="87"/>
        <v/>
      </c>
      <c r="CT76" s="13" t="str">
        <f t="shared" si="87"/>
        <v/>
      </c>
      <c r="CU76" s="13" t="str">
        <f t="shared" si="87"/>
        <v/>
      </c>
      <c r="CV76" s="13" t="str">
        <f t="shared" si="87"/>
        <v/>
      </c>
      <c r="CW76" s="13" t="str">
        <f t="shared" si="87"/>
        <v/>
      </c>
      <c r="CX76" s="13" t="str">
        <f t="shared" si="87"/>
        <v/>
      </c>
      <c r="CY76" s="13" t="str">
        <f t="shared" si="87"/>
        <v/>
      </c>
      <c r="CZ76" s="13" t="str">
        <f t="shared" si="87"/>
        <v/>
      </c>
      <c r="DA76" s="13" t="str">
        <f t="shared" si="87"/>
        <v/>
      </c>
      <c r="DB76" s="13" t="str">
        <f t="shared" si="87"/>
        <v/>
      </c>
      <c r="DC76" s="13" t="str">
        <f t="shared" si="88"/>
        <v/>
      </c>
      <c r="DD76" s="13" t="str">
        <f t="shared" si="88"/>
        <v/>
      </c>
      <c r="DE76" s="13" t="str">
        <f t="shared" si="88"/>
        <v/>
      </c>
      <c r="DF76" s="13" t="str">
        <f t="shared" si="88"/>
        <v/>
      </c>
      <c r="DG76" s="13" t="str">
        <f t="shared" si="88"/>
        <v/>
      </c>
      <c r="DH76" s="13" t="str">
        <f t="shared" si="88"/>
        <v/>
      </c>
      <c r="DI76" s="13" t="str">
        <f t="shared" si="88"/>
        <v/>
      </c>
      <c r="DJ76" s="13" t="str">
        <f t="shared" si="88"/>
        <v/>
      </c>
      <c r="DK76" s="13" t="str">
        <f t="shared" si="88"/>
        <v/>
      </c>
      <c r="DL76" s="13" t="str">
        <f t="shared" si="88"/>
        <v/>
      </c>
      <c r="DM76" s="13" t="str">
        <f t="shared" si="89"/>
        <v/>
      </c>
      <c r="DN76" s="13" t="str">
        <f t="shared" si="89"/>
        <v/>
      </c>
      <c r="DO76" s="13" t="str">
        <f t="shared" si="89"/>
        <v/>
      </c>
      <c r="DP76" s="13" t="str">
        <f t="shared" si="89"/>
        <v/>
      </c>
      <c r="DQ76" s="13" t="str">
        <f t="shared" si="89"/>
        <v/>
      </c>
      <c r="DR76" s="13" t="str">
        <f t="shared" si="89"/>
        <v/>
      </c>
      <c r="DS76" s="13" t="str">
        <f t="shared" si="89"/>
        <v/>
      </c>
      <c r="DT76" s="13" t="str">
        <f t="shared" si="89"/>
        <v/>
      </c>
      <c r="DU76" s="13" t="str">
        <f t="shared" si="89"/>
        <v/>
      </c>
      <c r="DV76" s="13" t="str">
        <f t="shared" si="89"/>
        <v/>
      </c>
      <c r="DW76" s="13" t="str">
        <f t="shared" si="90"/>
        <v/>
      </c>
      <c r="DX76" s="13" t="str">
        <f t="shared" si="90"/>
        <v/>
      </c>
      <c r="DY76" s="13" t="str">
        <f t="shared" si="90"/>
        <v/>
      </c>
      <c r="DZ76" s="13" t="str">
        <f t="shared" si="90"/>
        <v/>
      </c>
      <c r="EA76" s="13" t="str">
        <f t="shared" si="90"/>
        <v/>
      </c>
      <c r="EB76" s="13" t="str">
        <f t="shared" si="90"/>
        <v/>
      </c>
      <c r="EC76" s="13" t="str">
        <f t="shared" si="90"/>
        <v/>
      </c>
      <c r="ED76" s="13" t="str">
        <f t="shared" si="90"/>
        <v/>
      </c>
      <c r="EE76" s="13" t="str">
        <f t="shared" si="90"/>
        <v/>
      </c>
      <c r="EF76" s="13" t="str">
        <f t="shared" si="90"/>
        <v/>
      </c>
      <c r="EG76" s="13" t="str">
        <f t="shared" si="90"/>
        <v/>
      </c>
      <c r="EH76" s="13" t="str">
        <f t="shared" si="90"/>
        <v/>
      </c>
    </row>
    <row r="77" spans="1:138" ht="13.5" customHeight="1">
      <c r="A77" s="55" t="s">
        <v>157</v>
      </c>
      <c r="B77" s="56" t="s">
        <v>158</v>
      </c>
      <c r="C77" s="57" t="s">
        <v>90</v>
      </c>
      <c r="D77" s="9" t="s">
        <v>79</v>
      </c>
      <c r="E77" s="10">
        <v>46324</v>
      </c>
      <c r="F77" s="10">
        <v>46326</v>
      </c>
      <c r="G77" s="11" t="str">
        <f t="shared" si="78"/>
        <v/>
      </c>
      <c r="H77" s="11" t="str">
        <f t="shared" si="78"/>
        <v/>
      </c>
      <c r="I77" s="11" t="str">
        <f t="shared" si="78"/>
        <v/>
      </c>
      <c r="J77" s="11" t="str">
        <f t="shared" si="78"/>
        <v/>
      </c>
      <c r="K77" s="11" t="str">
        <f t="shared" si="78"/>
        <v/>
      </c>
      <c r="L77" s="11" t="str">
        <f t="shared" si="78"/>
        <v/>
      </c>
      <c r="M77" s="11" t="str">
        <f t="shared" si="78"/>
        <v/>
      </c>
      <c r="N77" s="11" t="str">
        <f t="shared" si="78"/>
        <v/>
      </c>
      <c r="O77" s="11" t="str">
        <f t="shared" si="78"/>
        <v/>
      </c>
      <c r="P77" s="11" t="str">
        <f t="shared" si="78"/>
        <v/>
      </c>
      <c r="Q77" s="11" t="str">
        <f t="shared" si="79"/>
        <v/>
      </c>
      <c r="R77" s="11" t="str">
        <f t="shared" si="79"/>
        <v/>
      </c>
      <c r="S77" s="11" t="str">
        <f t="shared" si="79"/>
        <v/>
      </c>
      <c r="T77" s="11" t="str">
        <f t="shared" si="79"/>
        <v/>
      </c>
      <c r="U77" s="11" t="str">
        <f t="shared" si="79"/>
        <v/>
      </c>
      <c r="V77" s="11" t="str">
        <f t="shared" si="79"/>
        <v/>
      </c>
      <c r="W77" s="11" t="str">
        <f t="shared" si="79"/>
        <v/>
      </c>
      <c r="X77" s="11" t="str">
        <f t="shared" si="79"/>
        <v/>
      </c>
      <c r="Y77" s="11" t="str">
        <f t="shared" si="79"/>
        <v/>
      </c>
      <c r="Z77" s="11" t="str">
        <f t="shared" si="79"/>
        <v/>
      </c>
      <c r="AA77" s="11" t="str">
        <f t="shared" si="80"/>
        <v/>
      </c>
      <c r="AB77" s="11" t="str">
        <f t="shared" si="80"/>
        <v/>
      </c>
      <c r="AC77" s="11" t="str">
        <f t="shared" si="80"/>
        <v/>
      </c>
      <c r="AD77" s="11" t="str">
        <f t="shared" si="80"/>
        <v/>
      </c>
      <c r="AE77" s="11" t="str">
        <f t="shared" si="80"/>
        <v/>
      </c>
      <c r="AF77" s="11" t="str">
        <f t="shared" si="80"/>
        <v/>
      </c>
      <c r="AG77" s="11" t="str">
        <f t="shared" si="80"/>
        <v/>
      </c>
      <c r="AH77" s="11" t="str">
        <f t="shared" si="80"/>
        <v/>
      </c>
      <c r="AI77" s="11" t="str">
        <f t="shared" si="80"/>
        <v/>
      </c>
      <c r="AJ77" s="11" t="str">
        <f t="shared" si="80"/>
        <v/>
      </c>
      <c r="AK77" s="11" t="str">
        <f t="shared" si="81"/>
        <v/>
      </c>
      <c r="AL77" s="11" t="str">
        <f t="shared" si="81"/>
        <v/>
      </c>
      <c r="AM77" s="11" t="str">
        <f t="shared" si="81"/>
        <v/>
      </c>
      <c r="AN77" s="11" t="str">
        <f t="shared" si="81"/>
        <v/>
      </c>
      <c r="AO77" s="11" t="str">
        <f t="shared" si="81"/>
        <v/>
      </c>
      <c r="AP77" s="11" t="str">
        <f t="shared" si="81"/>
        <v/>
      </c>
      <c r="AQ77" s="11" t="str">
        <f t="shared" si="81"/>
        <v/>
      </c>
      <c r="AR77" s="11" t="str">
        <f t="shared" si="81"/>
        <v/>
      </c>
      <c r="AS77" s="11" t="str">
        <f t="shared" si="81"/>
        <v/>
      </c>
      <c r="AT77" s="11" t="str">
        <f t="shared" si="81"/>
        <v/>
      </c>
      <c r="AU77" s="11" t="str">
        <f t="shared" si="82"/>
        <v/>
      </c>
      <c r="AV77" s="11" t="str">
        <f t="shared" si="82"/>
        <v/>
      </c>
      <c r="AW77" s="11" t="str">
        <f t="shared" si="82"/>
        <v/>
      </c>
      <c r="AX77" s="11" t="str">
        <f t="shared" si="82"/>
        <v/>
      </c>
      <c r="AY77" s="11" t="str">
        <f t="shared" si="82"/>
        <v/>
      </c>
      <c r="AZ77" s="11" t="str">
        <f t="shared" si="82"/>
        <v/>
      </c>
      <c r="BA77" s="11" t="str">
        <f t="shared" si="82"/>
        <v/>
      </c>
      <c r="BB77" s="11" t="str">
        <f t="shared" si="82"/>
        <v/>
      </c>
      <c r="BC77" s="11" t="str">
        <f t="shared" si="82"/>
        <v/>
      </c>
      <c r="BD77" s="11" t="str">
        <f t="shared" si="82"/>
        <v/>
      </c>
      <c r="BE77" s="11" t="str">
        <f t="shared" si="83"/>
        <v/>
      </c>
      <c r="BF77" s="11" t="str">
        <f t="shared" si="83"/>
        <v/>
      </c>
      <c r="BG77" s="11" t="str">
        <f t="shared" si="83"/>
        <v/>
      </c>
      <c r="BH77" s="11" t="str">
        <f t="shared" si="83"/>
        <v/>
      </c>
      <c r="BI77" s="11" t="str">
        <f t="shared" si="83"/>
        <v/>
      </c>
      <c r="BJ77" s="11" t="str">
        <f t="shared" si="83"/>
        <v/>
      </c>
      <c r="BK77" s="11" t="str">
        <f t="shared" si="83"/>
        <v/>
      </c>
      <c r="BL77" s="11" t="str">
        <f t="shared" si="83"/>
        <v/>
      </c>
      <c r="BM77" s="11" t="str">
        <f t="shared" si="83"/>
        <v/>
      </c>
      <c r="BN77" s="11" t="str">
        <f t="shared" si="83"/>
        <v/>
      </c>
      <c r="BO77" s="11" t="str">
        <f t="shared" si="84"/>
        <v/>
      </c>
      <c r="BP77" s="11" t="str">
        <f t="shared" si="84"/>
        <v/>
      </c>
      <c r="BQ77" s="11" t="str">
        <f t="shared" si="84"/>
        <v/>
      </c>
      <c r="BR77" s="11" t="str">
        <f t="shared" si="84"/>
        <v/>
      </c>
      <c r="BS77" s="11" t="str">
        <f t="shared" si="84"/>
        <v/>
      </c>
      <c r="BT77" s="11" t="str">
        <f t="shared" si="84"/>
        <v/>
      </c>
      <c r="BU77" s="11" t="str">
        <f t="shared" si="84"/>
        <v/>
      </c>
      <c r="BV77" s="11" t="str">
        <f t="shared" si="84"/>
        <v/>
      </c>
      <c r="BW77" s="11" t="str">
        <f t="shared" si="84"/>
        <v/>
      </c>
      <c r="BX77" s="11" t="str">
        <f t="shared" si="84"/>
        <v/>
      </c>
      <c r="BY77" s="11" t="str">
        <f t="shared" si="85"/>
        <v/>
      </c>
      <c r="BZ77" s="11" t="str">
        <f t="shared" si="85"/>
        <v/>
      </c>
      <c r="CA77" s="11" t="str">
        <f t="shared" si="85"/>
        <v/>
      </c>
      <c r="CB77" s="11" t="str">
        <f t="shared" si="85"/>
        <v/>
      </c>
      <c r="CC77" s="11" t="str">
        <f t="shared" si="85"/>
        <v/>
      </c>
      <c r="CD77" s="11" t="str">
        <f t="shared" si="85"/>
        <v/>
      </c>
      <c r="CE77" s="11" t="str">
        <f t="shared" si="85"/>
        <v/>
      </c>
      <c r="CF77" s="11" t="str">
        <f t="shared" si="85"/>
        <v/>
      </c>
      <c r="CG77" s="11" t="str">
        <f t="shared" si="85"/>
        <v/>
      </c>
      <c r="CH77" s="11" t="str">
        <f t="shared" si="85"/>
        <v/>
      </c>
      <c r="CI77" s="11" t="str">
        <f t="shared" si="86"/>
        <v/>
      </c>
      <c r="CJ77" s="11" t="str">
        <f t="shared" si="86"/>
        <v/>
      </c>
      <c r="CK77" s="11" t="str">
        <f t="shared" si="86"/>
        <v/>
      </c>
      <c r="CL77" s="11" t="str">
        <f t="shared" si="86"/>
        <v/>
      </c>
      <c r="CM77" s="11" t="str">
        <f t="shared" si="86"/>
        <v/>
      </c>
      <c r="CN77" s="11" t="str">
        <f t="shared" si="86"/>
        <v/>
      </c>
      <c r="CO77" s="11" t="str">
        <f t="shared" si="86"/>
        <v/>
      </c>
      <c r="CP77" s="11" t="str">
        <f t="shared" si="86"/>
        <v/>
      </c>
      <c r="CQ77" s="11" t="str">
        <f t="shared" si="86"/>
        <v/>
      </c>
      <c r="CR77" s="11" t="str">
        <f t="shared" si="86"/>
        <v>▪</v>
      </c>
      <c r="CS77" s="11" t="str">
        <f t="shared" si="87"/>
        <v>▪</v>
      </c>
      <c r="CT77" s="11" t="str">
        <f t="shared" si="87"/>
        <v>▪</v>
      </c>
      <c r="CU77" s="11" t="str">
        <f t="shared" si="87"/>
        <v/>
      </c>
      <c r="CV77" s="11" t="str">
        <f t="shared" si="87"/>
        <v/>
      </c>
      <c r="CW77" s="11" t="str">
        <f t="shared" si="87"/>
        <v/>
      </c>
      <c r="CX77" s="11" t="str">
        <f t="shared" si="87"/>
        <v/>
      </c>
      <c r="CY77" s="11" t="str">
        <f t="shared" si="87"/>
        <v/>
      </c>
      <c r="CZ77" s="11" t="str">
        <f t="shared" si="87"/>
        <v/>
      </c>
      <c r="DA77" s="11" t="str">
        <f t="shared" si="87"/>
        <v/>
      </c>
      <c r="DB77" s="11" t="str">
        <f t="shared" si="87"/>
        <v/>
      </c>
      <c r="DC77" s="11" t="str">
        <f t="shared" si="88"/>
        <v/>
      </c>
      <c r="DD77" s="11" t="str">
        <f t="shared" si="88"/>
        <v/>
      </c>
      <c r="DE77" s="11" t="str">
        <f t="shared" si="88"/>
        <v/>
      </c>
      <c r="DF77" s="11" t="str">
        <f t="shared" si="88"/>
        <v/>
      </c>
      <c r="DG77" s="11" t="str">
        <f t="shared" si="88"/>
        <v/>
      </c>
      <c r="DH77" s="11" t="str">
        <f t="shared" si="88"/>
        <v/>
      </c>
      <c r="DI77" s="11" t="str">
        <f t="shared" si="88"/>
        <v/>
      </c>
      <c r="DJ77" s="11" t="str">
        <f t="shared" si="88"/>
        <v/>
      </c>
      <c r="DK77" s="11" t="str">
        <f t="shared" si="88"/>
        <v/>
      </c>
      <c r="DL77" s="11" t="str">
        <f t="shared" si="88"/>
        <v/>
      </c>
      <c r="DM77" s="11" t="str">
        <f t="shared" si="89"/>
        <v/>
      </c>
      <c r="DN77" s="11" t="str">
        <f t="shared" si="89"/>
        <v/>
      </c>
      <c r="DO77" s="11" t="str">
        <f t="shared" si="89"/>
        <v/>
      </c>
      <c r="DP77" s="11" t="str">
        <f t="shared" si="89"/>
        <v/>
      </c>
      <c r="DQ77" s="11" t="str">
        <f t="shared" si="89"/>
        <v/>
      </c>
      <c r="DR77" s="11" t="str">
        <f t="shared" si="89"/>
        <v/>
      </c>
      <c r="DS77" s="11" t="str">
        <f t="shared" si="89"/>
        <v/>
      </c>
      <c r="DT77" s="11" t="str">
        <f t="shared" si="89"/>
        <v/>
      </c>
      <c r="DU77" s="11" t="str">
        <f t="shared" si="89"/>
        <v/>
      </c>
      <c r="DV77" s="11" t="str">
        <f t="shared" si="89"/>
        <v/>
      </c>
      <c r="DW77" s="11" t="str">
        <f t="shared" si="90"/>
        <v/>
      </c>
      <c r="DX77" s="11" t="str">
        <f t="shared" si="90"/>
        <v/>
      </c>
      <c r="DY77" s="11" t="str">
        <f t="shared" si="90"/>
        <v/>
      </c>
      <c r="DZ77" s="11" t="str">
        <f t="shared" si="90"/>
        <v/>
      </c>
      <c r="EA77" s="11" t="str">
        <f t="shared" si="90"/>
        <v/>
      </c>
      <c r="EB77" s="11" t="str">
        <f t="shared" si="90"/>
        <v/>
      </c>
      <c r="EC77" s="11" t="str">
        <f t="shared" si="90"/>
        <v/>
      </c>
      <c r="ED77" s="11" t="str">
        <f t="shared" si="90"/>
        <v/>
      </c>
      <c r="EE77" s="11" t="str">
        <f t="shared" si="90"/>
        <v/>
      </c>
      <c r="EF77" s="11" t="str">
        <f t="shared" si="90"/>
        <v/>
      </c>
      <c r="EG77" s="11" t="str">
        <f t="shared" si="90"/>
        <v/>
      </c>
      <c r="EH77" s="11" t="str">
        <f t="shared" si="90"/>
        <v/>
      </c>
    </row>
    <row r="78" spans="1:138" ht="13.5" customHeight="1">
      <c r="A78" s="55"/>
      <c r="B78" s="55"/>
      <c r="C78" s="55"/>
      <c r="D78" s="12" t="s">
        <v>80</v>
      </c>
      <c r="E78" s="10">
        <v>46298</v>
      </c>
      <c r="F78" s="10">
        <v>46305</v>
      </c>
      <c r="G78" s="13" t="str">
        <f t="shared" si="78"/>
        <v/>
      </c>
      <c r="H78" s="13" t="str">
        <f t="shared" si="78"/>
        <v/>
      </c>
      <c r="I78" s="13" t="str">
        <f t="shared" si="78"/>
        <v/>
      </c>
      <c r="J78" s="13" t="str">
        <f t="shared" si="78"/>
        <v/>
      </c>
      <c r="K78" s="13" t="str">
        <f t="shared" si="78"/>
        <v/>
      </c>
      <c r="L78" s="13" t="str">
        <f t="shared" si="78"/>
        <v/>
      </c>
      <c r="M78" s="13" t="str">
        <f t="shared" si="78"/>
        <v/>
      </c>
      <c r="N78" s="13" t="str">
        <f t="shared" si="78"/>
        <v/>
      </c>
      <c r="O78" s="13" t="str">
        <f t="shared" si="78"/>
        <v/>
      </c>
      <c r="P78" s="13" t="str">
        <f t="shared" si="78"/>
        <v/>
      </c>
      <c r="Q78" s="13" t="str">
        <f t="shared" si="79"/>
        <v/>
      </c>
      <c r="R78" s="13" t="str">
        <f t="shared" si="79"/>
        <v/>
      </c>
      <c r="S78" s="13" t="str">
        <f t="shared" si="79"/>
        <v/>
      </c>
      <c r="T78" s="13" t="str">
        <f t="shared" si="79"/>
        <v/>
      </c>
      <c r="U78" s="13" t="str">
        <f t="shared" si="79"/>
        <v/>
      </c>
      <c r="V78" s="13" t="str">
        <f t="shared" si="79"/>
        <v/>
      </c>
      <c r="W78" s="13" t="str">
        <f t="shared" si="79"/>
        <v/>
      </c>
      <c r="X78" s="13" t="str">
        <f t="shared" si="79"/>
        <v/>
      </c>
      <c r="Y78" s="13" t="str">
        <f t="shared" si="79"/>
        <v/>
      </c>
      <c r="Z78" s="13" t="str">
        <f t="shared" si="79"/>
        <v/>
      </c>
      <c r="AA78" s="13" t="str">
        <f t="shared" si="80"/>
        <v/>
      </c>
      <c r="AB78" s="13" t="str">
        <f t="shared" si="80"/>
        <v/>
      </c>
      <c r="AC78" s="13" t="str">
        <f t="shared" si="80"/>
        <v/>
      </c>
      <c r="AD78" s="13" t="str">
        <f t="shared" si="80"/>
        <v/>
      </c>
      <c r="AE78" s="13" t="str">
        <f t="shared" si="80"/>
        <v/>
      </c>
      <c r="AF78" s="13" t="str">
        <f t="shared" si="80"/>
        <v/>
      </c>
      <c r="AG78" s="13" t="str">
        <f t="shared" si="80"/>
        <v/>
      </c>
      <c r="AH78" s="13" t="str">
        <f t="shared" si="80"/>
        <v/>
      </c>
      <c r="AI78" s="13" t="str">
        <f t="shared" si="80"/>
        <v/>
      </c>
      <c r="AJ78" s="13" t="str">
        <f t="shared" si="80"/>
        <v/>
      </c>
      <c r="AK78" s="13" t="str">
        <f t="shared" si="81"/>
        <v/>
      </c>
      <c r="AL78" s="13" t="str">
        <f t="shared" si="81"/>
        <v/>
      </c>
      <c r="AM78" s="13" t="str">
        <f t="shared" si="81"/>
        <v/>
      </c>
      <c r="AN78" s="13" t="str">
        <f t="shared" si="81"/>
        <v/>
      </c>
      <c r="AO78" s="13" t="str">
        <f t="shared" si="81"/>
        <v/>
      </c>
      <c r="AP78" s="13" t="str">
        <f t="shared" si="81"/>
        <v/>
      </c>
      <c r="AQ78" s="13" t="str">
        <f t="shared" si="81"/>
        <v/>
      </c>
      <c r="AR78" s="13" t="str">
        <f t="shared" si="81"/>
        <v/>
      </c>
      <c r="AS78" s="13" t="str">
        <f t="shared" si="81"/>
        <v/>
      </c>
      <c r="AT78" s="13" t="str">
        <f t="shared" si="81"/>
        <v/>
      </c>
      <c r="AU78" s="13" t="str">
        <f t="shared" si="82"/>
        <v/>
      </c>
      <c r="AV78" s="13" t="str">
        <f t="shared" si="82"/>
        <v/>
      </c>
      <c r="AW78" s="13" t="str">
        <f t="shared" si="82"/>
        <v/>
      </c>
      <c r="AX78" s="13" t="str">
        <f t="shared" si="82"/>
        <v/>
      </c>
      <c r="AY78" s="13" t="str">
        <f t="shared" si="82"/>
        <v/>
      </c>
      <c r="AZ78" s="13" t="str">
        <f t="shared" si="82"/>
        <v/>
      </c>
      <c r="BA78" s="13" t="str">
        <f t="shared" si="82"/>
        <v/>
      </c>
      <c r="BB78" s="13" t="str">
        <f t="shared" si="82"/>
        <v/>
      </c>
      <c r="BC78" s="13" t="str">
        <f t="shared" si="82"/>
        <v/>
      </c>
      <c r="BD78" s="13" t="str">
        <f t="shared" si="82"/>
        <v/>
      </c>
      <c r="BE78" s="13" t="str">
        <f t="shared" si="83"/>
        <v/>
      </c>
      <c r="BF78" s="13" t="str">
        <f t="shared" si="83"/>
        <v/>
      </c>
      <c r="BG78" s="13" t="str">
        <f t="shared" si="83"/>
        <v/>
      </c>
      <c r="BH78" s="13" t="str">
        <f t="shared" si="83"/>
        <v/>
      </c>
      <c r="BI78" s="13" t="str">
        <f t="shared" si="83"/>
        <v/>
      </c>
      <c r="BJ78" s="13" t="str">
        <f t="shared" si="83"/>
        <v/>
      </c>
      <c r="BK78" s="13" t="str">
        <f t="shared" si="83"/>
        <v/>
      </c>
      <c r="BL78" s="13" t="str">
        <f t="shared" si="83"/>
        <v/>
      </c>
      <c r="BM78" s="13" t="str">
        <f t="shared" si="83"/>
        <v/>
      </c>
      <c r="BN78" s="13" t="str">
        <f t="shared" si="83"/>
        <v/>
      </c>
      <c r="BO78" s="13" t="str">
        <f t="shared" si="84"/>
        <v/>
      </c>
      <c r="BP78" s="13" t="str">
        <f t="shared" si="84"/>
        <v/>
      </c>
      <c r="BQ78" s="13" t="str">
        <f t="shared" si="84"/>
        <v/>
      </c>
      <c r="BR78" s="13" t="str">
        <f t="shared" si="84"/>
        <v>▪</v>
      </c>
      <c r="BS78" s="13" t="str">
        <f t="shared" si="84"/>
        <v>▪</v>
      </c>
      <c r="BT78" s="13" t="str">
        <f t="shared" si="84"/>
        <v>▪</v>
      </c>
      <c r="BU78" s="13" t="str">
        <f t="shared" si="84"/>
        <v>▪</v>
      </c>
      <c r="BV78" s="13" t="str">
        <f t="shared" si="84"/>
        <v>▪</v>
      </c>
      <c r="BW78" s="13" t="str">
        <f t="shared" si="84"/>
        <v>▪</v>
      </c>
      <c r="BX78" s="13" t="str">
        <f t="shared" si="84"/>
        <v>▪</v>
      </c>
      <c r="BY78" s="13" t="str">
        <f t="shared" si="85"/>
        <v>▪</v>
      </c>
      <c r="BZ78" s="13" t="str">
        <f t="shared" si="85"/>
        <v/>
      </c>
      <c r="CA78" s="13" t="str">
        <f t="shared" si="85"/>
        <v/>
      </c>
      <c r="CB78" s="13" t="str">
        <f t="shared" si="85"/>
        <v/>
      </c>
      <c r="CC78" s="13" t="str">
        <f t="shared" si="85"/>
        <v/>
      </c>
      <c r="CD78" s="13" t="str">
        <f t="shared" si="85"/>
        <v/>
      </c>
      <c r="CE78" s="13" t="str">
        <f t="shared" si="85"/>
        <v/>
      </c>
      <c r="CF78" s="13" t="str">
        <f t="shared" si="85"/>
        <v/>
      </c>
      <c r="CG78" s="13" t="str">
        <f t="shared" si="85"/>
        <v/>
      </c>
      <c r="CH78" s="13" t="str">
        <f t="shared" si="85"/>
        <v/>
      </c>
      <c r="CI78" s="13" t="str">
        <f t="shared" si="86"/>
        <v/>
      </c>
      <c r="CJ78" s="13" t="str">
        <f t="shared" si="86"/>
        <v/>
      </c>
      <c r="CK78" s="13" t="str">
        <f t="shared" si="86"/>
        <v/>
      </c>
      <c r="CL78" s="13" t="str">
        <f t="shared" si="86"/>
        <v/>
      </c>
      <c r="CM78" s="13" t="str">
        <f t="shared" si="86"/>
        <v/>
      </c>
      <c r="CN78" s="13" t="str">
        <f t="shared" si="86"/>
        <v/>
      </c>
      <c r="CO78" s="13" t="str">
        <f t="shared" si="86"/>
        <v/>
      </c>
      <c r="CP78" s="13" t="str">
        <f t="shared" si="86"/>
        <v/>
      </c>
      <c r="CQ78" s="13" t="str">
        <f t="shared" si="86"/>
        <v/>
      </c>
      <c r="CR78" s="13" t="str">
        <f t="shared" si="86"/>
        <v/>
      </c>
      <c r="CS78" s="13" t="str">
        <f t="shared" si="87"/>
        <v/>
      </c>
      <c r="CT78" s="13" t="str">
        <f t="shared" si="87"/>
        <v/>
      </c>
      <c r="CU78" s="13" t="str">
        <f t="shared" si="87"/>
        <v/>
      </c>
      <c r="CV78" s="13" t="str">
        <f t="shared" si="87"/>
        <v/>
      </c>
      <c r="CW78" s="13" t="str">
        <f t="shared" si="87"/>
        <v/>
      </c>
      <c r="CX78" s="13" t="str">
        <f t="shared" si="87"/>
        <v/>
      </c>
      <c r="CY78" s="13" t="str">
        <f t="shared" si="87"/>
        <v/>
      </c>
      <c r="CZ78" s="13" t="str">
        <f t="shared" si="87"/>
        <v/>
      </c>
      <c r="DA78" s="13" t="str">
        <f t="shared" si="87"/>
        <v/>
      </c>
      <c r="DB78" s="13" t="str">
        <f t="shared" si="87"/>
        <v/>
      </c>
      <c r="DC78" s="13" t="str">
        <f t="shared" si="88"/>
        <v/>
      </c>
      <c r="DD78" s="13" t="str">
        <f t="shared" si="88"/>
        <v/>
      </c>
      <c r="DE78" s="13" t="str">
        <f t="shared" si="88"/>
        <v/>
      </c>
      <c r="DF78" s="13" t="str">
        <f t="shared" si="88"/>
        <v/>
      </c>
      <c r="DG78" s="13" t="str">
        <f t="shared" si="88"/>
        <v/>
      </c>
      <c r="DH78" s="13" t="str">
        <f t="shared" si="88"/>
        <v/>
      </c>
      <c r="DI78" s="13" t="str">
        <f t="shared" si="88"/>
        <v/>
      </c>
      <c r="DJ78" s="13" t="str">
        <f t="shared" si="88"/>
        <v/>
      </c>
      <c r="DK78" s="13" t="str">
        <f t="shared" si="88"/>
        <v/>
      </c>
      <c r="DL78" s="13" t="str">
        <f t="shared" si="88"/>
        <v/>
      </c>
      <c r="DM78" s="13" t="str">
        <f t="shared" si="89"/>
        <v/>
      </c>
      <c r="DN78" s="13" t="str">
        <f t="shared" si="89"/>
        <v/>
      </c>
      <c r="DO78" s="13" t="str">
        <f t="shared" si="89"/>
        <v/>
      </c>
      <c r="DP78" s="13" t="str">
        <f t="shared" si="89"/>
        <v/>
      </c>
      <c r="DQ78" s="13" t="str">
        <f t="shared" si="89"/>
        <v/>
      </c>
      <c r="DR78" s="13" t="str">
        <f t="shared" si="89"/>
        <v/>
      </c>
      <c r="DS78" s="13" t="str">
        <f t="shared" si="89"/>
        <v/>
      </c>
      <c r="DT78" s="13" t="str">
        <f t="shared" si="89"/>
        <v/>
      </c>
      <c r="DU78" s="13" t="str">
        <f t="shared" si="89"/>
        <v/>
      </c>
      <c r="DV78" s="13" t="str">
        <f t="shared" si="89"/>
        <v/>
      </c>
      <c r="DW78" s="13" t="str">
        <f t="shared" si="90"/>
        <v/>
      </c>
      <c r="DX78" s="13" t="str">
        <f t="shared" si="90"/>
        <v/>
      </c>
      <c r="DY78" s="13" t="str">
        <f t="shared" si="90"/>
        <v/>
      </c>
      <c r="DZ78" s="13" t="str">
        <f t="shared" si="90"/>
        <v/>
      </c>
      <c r="EA78" s="13" t="str">
        <f t="shared" si="90"/>
        <v/>
      </c>
      <c r="EB78" s="13" t="str">
        <f t="shared" si="90"/>
        <v/>
      </c>
      <c r="EC78" s="13" t="str">
        <f t="shared" si="90"/>
        <v/>
      </c>
      <c r="ED78" s="13" t="str">
        <f t="shared" si="90"/>
        <v/>
      </c>
      <c r="EE78" s="13" t="str">
        <f t="shared" si="90"/>
        <v/>
      </c>
      <c r="EF78" s="13" t="str">
        <f t="shared" si="90"/>
        <v/>
      </c>
      <c r="EG78" s="13" t="str">
        <f t="shared" si="90"/>
        <v/>
      </c>
      <c r="EH78" s="13" t="str">
        <f t="shared" si="90"/>
        <v/>
      </c>
    </row>
    <row r="79" spans="1:138" ht="15.75" customHeight="1">
      <c r="A79" s="54" t="s">
        <v>159</v>
      </c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  <c r="DO79" s="54"/>
      <c r="DP79" s="54"/>
      <c r="DQ79" s="54"/>
      <c r="DR79" s="54"/>
      <c r="DS79" s="54"/>
      <c r="DT79" s="54"/>
      <c r="DU79" s="54"/>
      <c r="DV79" s="54"/>
      <c r="DW79" s="54"/>
      <c r="DX79" s="54"/>
      <c r="DY79" s="54"/>
      <c r="DZ79" s="54"/>
      <c r="EA79" s="54"/>
      <c r="EB79" s="54"/>
      <c r="EC79" s="54"/>
      <c r="ED79" s="54"/>
      <c r="EE79" s="54"/>
      <c r="EF79" s="54"/>
      <c r="EG79" s="54"/>
      <c r="EH79" s="54"/>
    </row>
    <row r="80" spans="1:138" ht="13.5" customHeight="1">
      <c r="A80" s="55" t="s">
        <v>160</v>
      </c>
      <c r="B80" s="56" t="s">
        <v>161</v>
      </c>
      <c r="C80" s="57" t="s">
        <v>86</v>
      </c>
      <c r="D80" s="9" t="s">
        <v>79</v>
      </c>
      <c r="E80" s="10">
        <v>46328</v>
      </c>
      <c r="F80" s="10">
        <v>46329</v>
      </c>
      <c r="G80" s="11" t="str">
        <f t="shared" ref="G80:P91" si="91">IF(AND($E80&lt;&gt;"",$F80&lt;&gt;"",$E80&lt;=G$3,$F80&gt;=G$3),"▪","")</f>
        <v/>
      </c>
      <c r="H80" s="11" t="str">
        <f t="shared" si="91"/>
        <v/>
      </c>
      <c r="I80" s="11" t="str">
        <f t="shared" si="91"/>
        <v/>
      </c>
      <c r="J80" s="11" t="str">
        <f t="shared" si="91"/>
        <v/>
      </c>
      <c r="K80" s="11" t="str">
        <f t="shared" si="91"/>
        <v/>
      </c>
      <c r="L80" s="11" t="str">
        <f t="shared" si="91"/>
        <v/>
      </c>
      <c r="M80" s="11" t="str">
        <f t="shared" si="91"/>
        <v/>
      </c>
      <c r="N80" s="11" t="str">
        <f t="shared" si="91"/>
        <v/>
      </c>
      <c r="O80" s="11" t="str">
        <f t="shared" si="91"/>
        <v/>
      </c>
      <c r="P80" s="11" t="str">
        <f t="shared" si="91"/>
        <v/>
      </c>
      <c r="Q80" s="11" t="str">
        <f t="shared" ref="Q80:Z91" si="92">IF(AND($E80&lt;&gt;"",$F80&lt;&gt;"",$E80&lt;=Q$3,$F80&gt;=Q$3),"▪","")</f>
        <v/>
      </c>
      <c r="R80" s="11" t="str">
        <f t="shared" si="92"/>
        <v/>
      </c>
      <c r="S80" s="11" t="str">
        <f t="shared" si="92"/>
        <v/>
      </c>
      <c r="T80" s="11" t="str">
        <f t="shared" si="92"/>
        <v/>
      </c>
      <c r="U80" s="11" t="str">
        <f t="shared" si="92"/>
        <v/>
      </c>
      <c r="V80" s="11" t="str">
        <f t="shared" si="92"/>
        <v/>
      </c>
      <c r="W80" s="11" t="str">
        <f t="shared" si="92"/>
        <v/>
      </c>
      <c r="X80" s="11" t="str">
        <f t="shared" si="92"/>
        <v/>
      </c>
      <c r="Y80" s="11" t="str">
        <f t="shared" si="92"/>
        <v/>
      </c>
      <c r="Z80" s="11" t="str">
        <f t="shared" si="92"/>
        <v/>
      </c>
      <c r="AA80" s="11" t="str">
        <f t="shared" ref="AA80:AJ91" si="93">IF(AND($E80&lt;&gt;"",$F80&lt;&gt;"",$E80&lt;=AA$3,$F80&gt;=AA$3),"▪","")</f>
        <v/>
      </c>
      <c r="AB80" s="11" t="str">
        <f t="shared" si="93"/>
        <v/>
      </c>
      <c r="AC80" s="11" t="str">
        <f t="shared" si="93"/>
        <v/>
      </c>
      <c r="AD80" s="11" t="str">
        <f t="shared" si="93"/>
        <v/>
      </c>
      <c r="AE80" s="11" t="str">
        <f t="shared" si="93"/>
        <v/>
      </c>
      <c r="AF80" s="11" t="str">
        <f t="shared" si="93"/>
        <v/>
      </c>
      <c r="AG80" s="11" t="str">
        <f t="shared" si="93"/>
        <v/>
      </c>
      <c r="AH80" s="11" t="str">
        <f t="shared" si="93"/>
        <v/>
      </c>
      <c r="AI80" s="11" t="str">
        <f t="shared" si="93"/>
        <v/>
      </c>
      <c r="AJ80" s="11" t="str">
        <f t="shared" si="93"/>
        <v/>
      </c>
      <c r="AK80" s="11" t="str">
        <f t="shared" ref="AK80:AT91" si="94">IF(AND($E80&lt;&gt;"",$F80&lt;&gt;"",$E80&lt;=AK$3,$F80&gt;=AK$3),"▪","")</f>
        <v/>
      </c>
      <c r="AL80" s="11" t="str">
        <f t="shared" si="94"/>
        <v/>
      </c>
      <c r="AM80" s="11" t="str">
        <f t="shared" si="94"/>
        <v/>
      </c>
      <c r="AN80" s="11" t="str">
        <f t="shared" si="94"/>
        <v/>
      </c>
      <c r="AO80" s="11" t="str">
        <f t="shared" si="94"/>
        <v/>
      </c>
      <c r="AP80" s="11" t="str">
        <f t="shared" si="94"/>
        <v/>
      </c>
      <c r="AQ80" s="11" t="str">
        <f t="shared" si="94"/>
        <v/>
      </c>
      <c r="AR80" s="11" t="str">
        <f t="shared" si="94"/>
        <v/>
      </c>
      <c r="AS80" s="11" t="str">
        <f t="shared" si="94"/>
        <v/>
      </c>
      <c r="AT80" s="11" t="str">
        <f t="shared" si="94"/>
        <v/>
      </c>
      <c r="AU80" s="11" t="str">
        <f t="shared" ref="AU80:BD91" si="95">IF(AND($E80&lt;&gt;"",$F80&lt;&gt;"",$E80&lt;=AU$3,$F80&gt;=AU$3),"▪","")</f>
        <v/>
      </c>
      <c r="AV80" s="11" t="str">
        <f t="shared" si="95"/>
        <v/>
      </c>
      <c r="AW80" s="11" t="str">
        <f t="shared" si="95"/>
        <v/>
      </c>
      <c r="AX80" s="11" t="str">
        <f t="shared" si="95"/>
        <v/>
      </c>
      <c r="AY80" s="11" t="str">
        <f t="shared" si="95"/>
        <v/>
      </c>
      <c r="AZ80" s="11" t="str">
        <f t="shared" si="95"/>
        <v/>
      </c>
      <c r="BA80" s="11" t="str">
        <f t="shared" si="95"/>
        <v/>
      </c>
      <c r="BB80" s="11" t="str">
        <f t="shared" si="95"/>
        <v/>
      </c>
      <c r="BC80" s="11" t="str">
        <f t="shared" si="95"/>
        <v/>
      </c>
      <c r="BD80" s="11" t="str">
        <f t="shared" si="95"/>
        <v/>
      </c>
      <c r="BE80" s="11" t="str">
        <f t="shared" ref="BE80:BN91" si="96">IF(AND($E80&lt;&gt;"",$F80&lt;&gt;"",$E80&lt;=BE$3,$F80&gt;=BE$3),"▪","")</f>
        <v/>
      </c>
      <c r="BF80" s="11" t="str">
        <f t="shared" si="96"/>
        <v/>
      </c>
      <c r="BG80" s="11" t="str">
        <f t="shared" si="96"/>
        <v/>
      </c>
      <c r="BH80" s="11" t="str">
        <f t="shared" si="96"/>
        <v/>
      </c>
      <c r="BI80" s="11" t="str">
        <f t="shared" si="96"/>
        <v/>
      </c>
      <c r="BJ80" s="11" t="str">
        <f t="shared" si="96"/>
        <v/>
      </c>
      <c r="BK80" s="11" t="str">
        <f t="shared" si="96"/>
        <v/>
      </c>
      <c r="BL80" s="11" t="str">
        <f t="shared" si="96"/>
        <v/>
      </c>
      <c r="BM80" s="11" t="str">
        <f t="shared" si="96"/>
        <v/>
      </c>
      <c r="BN80" s="11" t="str">
        <f t="shared" si="96"/>
        <v/>
      </c>
      <c r="BO80" s="11" t="str">
        <f t="shared" ref="BO80:BX91" si="97">IF(AND($E80&lt;&gt;"",$F80&lt;&gt;"",$E80&lt;=BO$3,$F80&gt;=BO$3),"▪","")</f>
        <v/>
      </c>
      <c r="BP80" s="11" t="str">
        <f t="shared" si="97"/>
        <v/>
      </c>
      <c r="BQ80" s="11" t="str">
        <f t="shared" si="97"/>
        <v/>
      </c>
      <c r="BR80" s="11" t="str">
        <f t="shared" si="97"/>
        <v/>
      </c>
      <c r="BS80" s="11" t="str">
        <f t="shared" si="97"/>
        <v/>
      </c>
      <c r="BT80" s="11" t="str">
        <f t="shared" si="97"/>
        <v/>
      </c>
      <c r="BU80" s="11" t="str">
        <f t="shared" si="97"/>
        <v/>
      </c>
      <c r="BV80" s="11" t="str">
        <f t="shared" si="97"/>
        <v/>
      </c>
      <c r="BW80" s="11" t="str">
        <f t="shared" si="97"/>
        <v/>
      </c>
      <c r="BX80" s="11" t="str">
        <f t="shared" si="97"/>
        <v/>
      </c>
      <c r="BY80" s="11" t="str">
        <f t="shared" ref="BY80:CH91" si="98">IF(AND($E80&lt;&gt;"",$F80&lt;&gt;"",$E80&lt;=BY$3,$F80&gt;=BY$3),"▪","")</f>
        <v/>
      </c>
      <c r="BZ80" s="11" t="str">
        <f t="shared" si="98"/>
        <v/>
      </c>
      <c r="CA80" s="11" t="str">
        <f t="shared" si="98"/>
        <v/>
      </c>
      <c r="CB80" s="11" t="str">
        <f t="shared" si="98"/>
        <v/>
      </c>
      <c r="CC80" s="11" t="str">
        <f t="shared" si="98"/>
        <v/>
      </c>
      <c r="CD80" s="11" t="str">
        <f t="shared" si="98"/>
        <v/>
      </c>
      <c r="CE80" s="11" t="str">
        <f t="shared" si="98"/>
        <v/>
      </c>
      <c r="CF80" s="11" t="str">
        <f t="shared" si="98"/>
        <v/>
      </c>
      <c r="CG80" s="11" t="str">
        <f t="shared" si="98"/>
        <v/>
      </c>
      <c r="CH80" s="11" t="str">
        <f t="shared" si="98"/>
        <v/>
      </c>
      <c r="CI80" s="11" t="str">
        <f t="shared" ref="CI80:CR91" si="99">IF(AND($E80&lt;&gt;"",$F80&lt;&gt;"",$E80&lt;=CI$3,$F80&gt;=CI$3),"▪","")</f>
        <v/>
      </c>
      <c r="CJ80" s="11" t="str">
        <f t="shared" si="99"/>
        <v/>
      </c>
      <c r="CK80" s="11" t="str">
        <f t="shared" si="99"/>
        <v/>
      </c>
      <c r="CL80" s="11" t="str">
        <f t="shared" si="99"/>
        <v/>
      </c>
      <c r="CM80" s="11" t="str">
        <f t="shared" si="99"/>
        <v/>
      </c>
      <c r="CN80" s="11" t="str">
        <f t="shared" si="99"/>
        <v/>
      </c>
      <c r="CO80" s="11" t="str">
        <f t="shared" si="99"/>
        <v/>
      </c>
      <c r="CP80" s="11" t="str">
        <f t="shared" si="99"/>
        <v/>
      </c>
      <c r="CQ80" s="11" t="str">
        <f t="shared" si="99"/>
        <v/>
      </c>
      <c r="CR80" s="11" t="str">
        <f t="shared" si="99"/>
        <v/>
      </c>
      <c r="CS80" s="11" t="str">
        <f t="shared" ref="CS80:DB91" si="100">IF(AND($E80&lt;&gt;"",$F80&lt;&gt;"",$E80&lt;=CS$3,$F80&gt;=CS$3),"▪","")</f>
        <v/>
      </c>
      <c r="CT80" s="11" t="str">
        <f t="shared" si="100"/>
        <v/>
      </c>
      <c r="CU80" s="11" t="str">
        <f t="shared" si="100"/>
        <v/>
      </c>
      <c r="CV80" s="11" t="str">
        <f t="shared" si="100"/>
        <v>▪</v>
      </c>
      <c r="CW80" s="11" t="str">
        <f t="shared" si="100"/>
        <v>▪</v>
      </c>
      <c r="CX80" s="11" t="str">
        <f t="shared" si="100"/>
        <v/>
      </c>
      <c r="CY80" s="11" t="str">
        <f t="shared" si="100"/>
        <v/>
      </c>
      <c r="CZ80" s="11" t="str">
        <f t="shared" si="100"/>
        <v/>
      </c>
      <c r="DA80" s="11" t="str">
        <f t="shared" si="100"/>
        <v/>
      </c>
      <c r="DB80" s="11" t="str">
        <f t="shared" si="100"/>
        <v/>
      </c>
      <c r="DC80" s="11" t="str">
        <f t="shared" ref="DC80:DL91" si="101">IF(AND($E80&lt;&gt;"",$F80&lt;&gt;"",$E80&lt;=DC$3,$F80&gt;=DC$3),"▪","")</f>
        <v/>
      </c>
      <c r="DD80" s="11" t="str">
        <f t="shared" si="101"/>
        <v/>
      </c>
      <c r="DE80" s="11" t="str">
        <f t="shared" si="101"/>
        <v/>
      </c>
      <c r="DF80" s="11" t="str">
        <f t="shared" si="101"/>
        <v/>
      </c>
      <c r="DG80" s="11" t="str">
        <f t="shared" si="101"/>
        <v/>
      </c>
      <c r="DH80" s="11" t="str">
        <f t="shared" si="101"/>
        <v/>
      </c>
      <c r="DI80" s="11" t="str">
        <f t="shared" si="101"/>
        <v/>
      </c>
      <c r="DJ80" s="11" t="str">
        <f t="shared" si="101"/>
        <v/>
      </c>
      <c r="DK80" s="11" t="str">
        <f t="shared" si="101"/>
        <v/>
      </c>
      <c r="DL80" s="11" t="str">
        <f t="shared" si="101"/>
        <v/>
      </c>
      <c r="DM80" s="11" t="str">
        <f t="shared" ref="DM80:DV91" si="102">IF(AND($E80&lt;&gt;"",$F80&lt;&gt;"",$E80&lt;=DM$3,$F80&gt;=DM$3),"▪","")</f>
        <v/>
      </c>
      <c r="DN80" s="11" t="str">
        <f t="shared" si="102"/>
        <v/>
      </c>
      <c r="DO80" s="11" t="str">
        <f t="shared" si="102"/>
        <v/>
      </c>
      <c r="DP80" s="11" t="str">
        <f t="shared" si="102"/>
        <v/>
      </c>
      <c r="DQ80" s="11" t="str">
        <f t="shared" si="102"/>
        <v/>
      </c>
      <c r="DR80" s="11" t="str">
        <f t="shared" si="102"/>
        <v/>
      </c>
      <c r="DS80" s="11" t="str">
        <f t="shared" si="102"/>
        <v/>
      </c>
      <c r="DT80" s="11" t="str">
        <f t="shared" si="102"/>
        <v/>
      </c>
      <c r="DU80" s="11" t="str">
        <f t="shared" si="102"/>
        <v/>
      </c>
      <c r="DV80" s="11" t="str">
        <f t="shared" si="102"/>
        <v/>
      </c>
      <c r="DW80" s="11" t="str">
        <f t="shared" ref="DW80:EH91" si="103">IF(AND($E80&lt;&gt;"",$F80&lt;&gt;"",$E80&lt;=DW$3,$F80&gt;=DW$3),"▪","")</f>
        <v/>
      </c>
      <c r="DX80" s="11" t="str">
        <f t="shared" si="103"/>
        <v/>
      </c>
      <c r="DY80" s="11" t="str">
        <f t="shared" si="103"/>
        <v/>
      </c>
      <c r="DZ80" s="11" t="str">
        <f t="shared" si="103"/>
        <v/>
      </c>
      <c r="EA80" s="11" t="str">
        <f t="shared" si="103"/>
        <v/>
      </c>
      <c r="EB80" s="11" t="str">
        <f t="shared" si="103"/>
        <v/>
      </c>
      <c r="EC80" s="11" t="str">
        <f t="shared" si="103"/>
        <v/>
      </c>
      <c r="ED80" s="11" t="str">
        <f t="shared" si="103"/>
        <v/>
      </c>
      <c r="EE80" s="11" t="str">
        <f t="shared" si="103"/>
        <v/>
      </c>
      <c r="EF80" s="11" t="str">
        <f t="shared" si="103"/>
        <v/>
      </c>
      <c r="EG80" s="11" t="str">
        <f t="shared" si="103"/>
        <v/>
      </c>
      <c r="EH80" s="11" t="str">
        <f t="shared" si="103"/>
        <v/>
      </c>
    </row>
    <row r="81" spans="1:138" ht="13.5" customHeight="1">
      <c r="A81" s="55"/>
      <c r="B81" s="55"/>
      <c r="C81" s="55"/>
      <c r="D81" s="12" t="s">
        <v>80</v>
      </c>
      <c r="E81" s="10"/>
      <c r="F81" s="10"/>
      <c r="G81" s="13" t="str">
        <f t="shared" si="91"/>
        <v/>
      </c>
      <c r="H81" s="13" t="str">
        <f t="shared" si="91"/>
        <v/>
      </c>
      <c r="I81" s="13" t="str">
        <f t="shared" si="91"/>
        <v/>
      </c>
      <c r="J81" s="13" t="str">
        <f t="shared" si="91"/>
        <v/>
      </c>
      <c r="K81" s="13" t="str">
        <f t="shared" si="91"/>
        <v/>
      </c>
      <c r="L81" s="13" t="str">
        <f t="shared" si="91"/>
        <v/>
      </c>
      <c r="M81" s="13" t="str">
        <f t="shared" si="91"/>
        <v/>
      </c>
      <c r="N81" s="13" t="str">
        <f t="shared" si="91"/>
        <v/>
      </c>
      <c r="O81" s="13" t="str">
        <f t="shared" si="91"/>
        <v/>
      </c>
      <c r="P81" s="13" t="str">
        <f t="shared" si="91"/>
        <v/>
      </c>
      <c r="Q81" s="13" t="str">
        <f t="shared" si="92"/>
        <v/>
      </c>
      <c r="R81" s="13" t="str">
        <f t="shared" si="92"/>
        <v/>
      </c>
      <c r="S81" s="13" t="str">
        <f t="shared" si="92"/>
        <v/>
      </c>
      <c r="T81" s="13" t="str">
        <f t="shared" si="92"/>
        <v/>
      </c>
      <c r="U81" s="13" t="str">
        <f t="shared" si="92"/>
        <v/>
      </c>
      <c r="V81" s="13" t="str">
        <f t="shared" si="92"/>
        <v/>
      </c>
      <c r="W81" s="13" t="str">
        <f t="shared" si="92"/>
        <v/>
      </c>
      <c r="X81" s="13" t="str">
        <f t="shared" si="92"/>
        <v/>
      </c>
      <c r="Y81" s="13" t="str">
        <f t="shared" si="92"/>
        <v/>
      </c>
      <c r="Z81" s="13" t="str">
        <f t="shared" si="92"/>
        <v/>
      </c>
      <c r="AA81" s="13" t="str">
        <f t="shared" si="93"/>
        <v/>
      </c>
      <c r="AB81" s="13" t="str">
        <f t="shared" si="93"/>
        <v/>
      </c>
      <c r="AC81" s="13" t="str">
        <f t="shared" si="93"/>
        <v/>
      </c>
      <c r="AD81" s="13" t="str">
        <f t="shared" si="93"/>
        <v/>
      </c>
      <c r="AE81" s="13" t="str">
        <f t="shared" si="93"/>
        <v/>
      </c>
      <c r="AF81" s="13" t="str">
        <f t="shared" si="93"/>
        <v/>
      </c>
      <c r="AG81" s="13" t="str">
        <f t="shared" si="93"/>
        <v/>
      </c>
      <c r="AH81" s="13" t="str">
        <f t="shared" si="93"/>
        <v/>
      </c>
      <c r="AI81" s="13" t="str">
        <f t="shared" si="93"/>
        <v/>
      </c>
      <c r="AJ81" s="13" t="str">
        <f t="shared" si="93"/>
        <v/>
      </c>
      <c r="AK81" s="13" t="str">
        <f t="shared" si="94"/>
        <v/>
      </c>
      <c r="AL81" s="13" t="str">
        <f t="shared" si="94"/>
        <v/>
      </c>
      <c r="AM81" s="13" t="str">
        <f t="shared" si="94"/>
        <v/>
      </c>
      <c r="AN81" s="13" t="str">
        <f t="shared" si="94"/>
        <v/>
      </c>
      <c r="AO81" s="13" t="str">
        <f t="shared" si="94"/>
        <v/>
      </c>
      <c r="AP81" s="13" t="str">
        <f t="shared" si="94"/>
        <v/>
      </c>
      <c r="AQ81" s="13" t="str">
        <f t="shared" si="94"/>
        <v/>
      </c>
      <c r="AR81" s="13" t="str">
        <f t="shared" si="94"/>
        <v/>
      </c>
      <c r="AS81" s="13" t="str">
        <f t="shared" si="94"/>
        <v/>
      </c>
      <c r="AT81" s="13" t="str">
        <f t="shared" si="94"/>
        <v/>
      </c>
      <c r="AU81" s="13" t="str">
        <f t="shared" si="95"/>
        <v/>
      </c>
      <c r="AV81" s="13" t="str">
        <f t="shared" si="95"/>
        <v/>
      </c>
      <c r="AW81" s="13" t="str">
        <f t="shared" si="95"/>
        <v/>
      </c>
      <c r="AX81" s="13" t="str">
        <f t="shared" si="95"/>
        <v/>
      </c>
      <c r="AY81" s="13" t="str">
        <f t="shared" si="95"/>
        <v/>
      </c>
      <c r="AZ81" s="13" t="str">
        <f t="shared" si="95"/>
        <v/>
      </c>
      <c r="BA81" s="13" t="str">
        <f t="shared" si="95"/>
        <v/>
      </c>
      <c r="BB81" s="13" t="str">
        <f t="shared" si="95"/>
        <v/>
      </c>
      <c r="BC81" s="13" t="str">
        <f t="shared" si="95"/>
        <v/>
      </c>
      <c r="BD81" s="13" t="str">
        <f t="shared" si="95"/>
        <v/>
      </c>
      <c r="BE81" s="13" t="str">
        <f t="shared" si="96"/>
        <v/>
      </c>
      <c r="BF81" s="13" t="str">
        <f t="shared" si="96"/>
        <v/>
      </c>
      <c r="BG81" s="13" t="str">
        <f t="shared" si="96"/>
        <v/>
      </c>
      <c r="BH81" s="13" t="str">
        <f t="shared" si="96"/>
        <v/>
      </c>
      <c r="BI81" s="13" t="str">
        <f t="shared" si="96"/>
        <v/>
      </c>
      <c r="BJ81" s="13" t="str">
        <f t="shared" si="96"/>
        <v/>
      </c>
      <c r="BK81" s="13" t="str">
        <f t="shared" si="96"/>
        <v/>
      </c>
      <c r="BL81" s="13" t="str">
        <f t="shared" si="96"/>
        <v/>
      </c>
      <c r="BM81" s="13" t="str">
        <f t="shared" si="96"/>
        <v/>
      </c>
      <c r="BN81" s="13" t="str">
        <f t="shared" si="96"/>
        <v/>
      </c>
      <c r="BO81" s="13" t="str">
        <f t="shared" si="97"/>
        <v/>
      </c>
      <c r="BP81" s="13" t="str">
        <f t="shared" si="97"/>
        <v/>
      </c>
      <c r="BQ81" s="13" t="str">
        <f t="shared" si="97"/>
        <v/>
      </c>
      <c r="BR81" s="13" t="str">
        <f t="shared" si="97"/>
        <v/>
      </c>
      <c r="BS81" s="13" t="str">
        <f t="shared" si="97"/>
        <v/>
      </c>
      <c r="BT81" s="13" t="str">
        <f t="shared" si="97"/>
        <v/>
      </c>
      <c r="BU81" s="13" t="str">
        <f t="shared" si="97"/>
        <v/>
      </c>
      <c r="BV81" s="13" t="str">
        <f t="shared" si="97"/>
        <v/>
      </c>
      <c r="BW81" s="13" t="str">
        <f t="shared" si="97"/>
        <v/>
      </c>
      <c r="BX81" s="13" t="str">
        <f t="shared" si="97"/>
        <v/>
      </c>
      <c r="BY81" s="13" t="str">
        <f t="shared" si="98"/>
        <v/>
      </c>
      <c r="BZ81" s="13" t="str">
        <f t="shared" si="98"/>
        <v/>
      </c>
      <c r="CA81" s="13" t="str">
        <f t="shared" si="98"/>
        <v/>
      </c>
      <c r="CB81" s="13" t="str">
        <f t="shared" si="98"/>
        <v/>
      </c>
      <c r="CC81" s="13" t="str">
        <f t="shared" si="98"/>
        <v/>
      </c>
      <c r="CD81" s="13" t="str">
        <f t="shared" si="98"/>
        <v/>
      </c>
      <c r="CE81" s="13" t="str">
        <f t="shared" si="98"/>
        <v/>
      </c>
      <c r="CF81" s="13" t="str">
        <f t="shared" si="98"/>
        <v/>
      </c>
      <c r="CG81" s="13" t="str">
        <f t="shared" si="98"/>
        <v/>
      </c>
      <c r="CH81" s="13" t="str">
        <f t="shared" si="98"/>
        <v/>
      </c>
      <c r="CI81" s="13" t="str">
        <f t="shared" si="99"/>
        <v/>
      </c>
      <c r="CJ81" s="13" t="str">
        <f t="shared" si="99"/>
        <v/>
      </c>
      <c r="CK81" s="13" t="str">
        <f t="shared" si="99"/>
        <v/>
      </c>
      <c r="CL81" s="13" t="str">
        <f t="shared" si="99"/>
        <v/>
      </c>
      <c r="CM81" s="13" t="str">
        <f t="shared" si="99"/>
        <v/>
      </c>
      <c r="CN81" s="13" t="str">
        <f t="shared" si="99"/>
        <v/>
      </c>
      <c r="CO81" s="13" t="str">
        <f t="shared" si="99"/>
        <v/>
      </c>
      <c r="CP81" s="13" t="str">
        <f t="shared" si="99"/>
        <v/>
      </c>
      <c r="CQ81" s="13" t="str">
        <f t="shared" si="99"/>
        <v/>
      </c>
      <c r="CR81" s="13" t="str">
        <f t="shared" si="99"/>
        <v/>
      </c>
      <c r="CS81" s="13" t="str">
        <f t="shared" si="100"/>
        <v/>
      </c>
      <c r="CT81" s="13" t="str">
        <f t="shared" si="100"/>
        <v/>
      </c>
      <c r="CU81" s="13" t="str">
        <f t="shared" si="100"/>
        <v/>
      </c>
      <c r="CV81" s="13" t="str">
        <f t="shared" si="100"/>
        <v/>
      </c>
      <c r="CW81" s="13" t="str">
        <f t="shared" si="100"/>
        <v/>
      </c>
      <c r="CX81" s="13" t="str">
        <f t="shared" si="100"/>
        <v/>
      </c>
      <c r="CY81" s="13" t="str">
        <f t="shared" si="100"/>
        <v/>
      </c>
      <c r="CZ81" s="13" t="str">
        <f t="shared" si="100"/>
        <v/>
      </c>
      <c r="DA81" s="13" t="str">
        <f t="shared" si="100"/>
        <v/>
      </c>
      <c r="DB81" s="13" t="str">
        <f t="shared" si="100"/>
        <v/>
      </c>
      <c r="DC81" s="13" t="str">
        <f t="shared" si="101"/>
        <v/>
      </c>
      <c r="DD81" s="13" t="str">
        <f t="shared" si="101"/>
        <v/>
      </c>
      <c r="DE81" s="13" t="str">
        <f t="shared" si="101"/>
        <v/>
      </c>
      <c r="DF81" s="13" t="str">
        <f t="shared" si="101"/>
        <v/>
      </c>
      <c r="DG81" s="13" t="str">
        <f t="shared" si="101"/>
        <v/>
      </c>
      <c r="DH81" s="13" t="str">
        <f t="shared" si="101"/>
        <v/>
      </c>
      <c r="DI81" s="13" t="str">
        <f t="shared" si="101"/>
        <v/>
      </c>
      <c r="DJ81" s="13" t="str">
        <f t="shared" si="101"/>
        <v/>
      </c>
      <c r="DK81" s="13" t="str">
        <f t="shared" si="101"/>
        <v/>
      </c>
      <c r="DL81" s="13" t="str">
        <f t="shared" si="101"/>
        <v/>
      </c>
      <c r="DM81" s="13" t="str">
        <f t="shared" si="102"/>
        <v/>
      </c>
      <c r="DN81" s="13" t="str">
        <f t="shared" si="102"/>
        <v/>
      </c>
      <c r="DO81" s="13" t="str">
        <f t="shared" si="102"/>
        <v/>
      </c>
      <c r="DP81" s="13" t="str">
        <f t="shared" si="102"/>
        <v/>
      </c>
      <c r="DQ81" s="13" t="str">
        <f t="shared" si="102"/>
        <v/>
      </c>
      <c r="DR81" s="13" t="str">
        <f t="shared" si="102"/>
        <v/>
      </c>
      <c r="DS81" s="13" t="str">
        <f t="shared" si="102"/>
        <v/>
      </c>
      <c r="DT81" s="13" t="str">
        <f t="shared" si="102"/>
        <v/>
      </c>
      <c r="DU81" s="13" t="str">
        <f t="shared" si="102"/>
        <v/>
      </c>
      <c r="DV81" s="13" t="str">
        <f t="shared" si="102"/>
        <v/>
      </c>
      <c r="DW81" s="13" t="str">
        <f t="shared" si="103"/>
        <v/>
      </c>
      <c r="DX81" s="13" t="str">
        <f t="shared" si="103"/>
        <v/>
      </c>
      <c r="DY81" s="13" t="str">
        <f t="shared" si="103"/>
        <v/>
      </c>
      <c r="DZ81" s="13" t="str">
        <f t="shared" si="103"/>
        <v/>
      </c>
      <c r="EA81" s="13" t="str">
        <f t="shared" si="103"/>
        <v/>
      </c>
      <c r="EB81" s="13" t="str">
        <f t="shared" si="103"/>
        <v/>
      </c>
      <c r="EC81" s="13" t="str">
        <f t="shared" si="103"/>
        <v/>
      </c>
      <c r="ED81" s="13" t="str">
        <f t="shared" si="103"/>
        <v/>
      </c>
      <c r="EE81" s="13" t="str">
        <f t="shared" si="103"/>
        <v/>
      </c>
      <c r="EF81" s="13" t="str">
        <f t="shared" si="103"/>
        <v/>
      </c>
      <c r="EG81" s="13" t="str">
        <f t="shared" si="103"/>
        <v/>
      </c>
      <c r="EH81" s="13" t="str">
        <f t="shared" si="103"/>
        <v/>
      </c>
    </row>
    <row r="82" spans="1:138" ht="13.5" customHeight="1">
      <c r="A82" s="55" t="s">
        <v>162</v>
      </c>
      <c r="B82" s="56" t="s">
        <v>163</v>
      </c>
      <c r="C82" s="57" t="s">
        <v>86</v>
      </c>
      <c r="D82" s="9" t="s">
        <v>79</v>
      </c>
      <c r="E82" s="10">
        <v>46330</v>
      </c>
      <c r="F82" s="10">
        <v>46332</v>
      </c>
      <c r="G82" s="11" t="str">
        <f t="shared" si="91"/>
        <v/>
      </c>
      <c r="H82" s="11" t="str">
        <f t="shared" si="91"/>
        <v/>
      </c>
      <c r="I82" s="11" t="str">
        <f t="shared" si="91"/>
        <v/>
      </c>
      <c r="J82" s="11" t="str">
        <f t="shared" si="91"/>
        <v/>
      </c>
      <c r="K82" s="11" t="str">
        <f t="shared" si="91"/>
        <v/>
      </c>
      <c r="L82" s="11" t="str">
        <f t="shared" si="91"/>
        <v/>
      </c>
      <c r="M82" s="11" t="str">
        <f t="shared" si="91"/>
        <v/>
      </c>
      <c r="N82" s="11" t="str">
        <f t="shared" si="91"/>
        <v/>
      </c>
      <c r="O82" s="11" t="str">
        <f t="shared" si="91"/>
        <v/>
      </c>
      <c r="P82" s="11" t="str">
        <f t="shared" si="91"/>
        <v/>
      </c>
      <c r="Q82" s="11" t="str">
        <f t="shared" si="92"/>
        <v/>
      </c>
      <c r="R82" s="11" t="str">
        <f t="shared" si="92"/>
        <v/>
      </c>
      <c r="S82" s="11" t="str">
        <f t="shared" si="92"/>
        <v/>
      </c>
      <c r="T82" s="11" t="str">
        <f t="shared" si="92"/>
        <v/>
      </c>
      <c r="U82" s="11" t="str">
        <f t="shared" si="92"/>
        <v/>
      </c>
      <c r="V82" s="11" t="str">
        <f t="shared" si="92"/>
        <v/>
      </c>
      <c r="W82" s="11" t="str">
        <f t="shared" si="92"/>
        <v/>
      </c>
      <c r="X82" s="11" t="str">
        <f t="shared" si="92"/>
        <v/>
      </c>
      <c r="Y82" s="11" t="str">
        <f t="shared" si="92"/>
        <v/>
      </c>
      <c r="Z82" s="11" t="str">
        <f t="shared" si="92"/>
        <v/>
      </c>
      <c r="AA82" s="11" t="str">
        <f t="shared" si="93"/>
        <v/>
      </c>
      <c r="AB82" s="11" t="str">
        <f t="shared" si="93"/>
        <v/>
      </c>
      <c r="AC82" s="11" t="str">
        <f t="shared" si="93"/>
        <v/>
      </c>
      <c r="AD82" s="11" t="str">
        <f t="shared" si="93"/>
        <v/>
      </c>
      <c r="AE82" s="11" t="str">
        <f t="shared" si="93"/>
        <v/>
      </c>
      <c r="AF82" s="11" t="str">
        <f t="shared" si="93"/>
        <v/>
      </c>
      <c r="AG82" s="11" t="str">
        <f t="shared" si="93"/>
        <v/>
      </c>
      <c r="AH82" s="11" t="str">
        <f t="shared" si="93"/>
        <v/>
      </c>
      <c r="AI82" s="11" t="str">
        <f t="shared" si="93"/>
        <v/>
      </c>
      <c r="AJ82" s="11" t="str">
        <f t="shared" si="93"/>
        <v/>
      </c>
      <c r="AK82" s="11" t="str">
        <f t="shared" si="94"/>
        <v/>
      </c>
      <c r="AL82" s="11" t="str">
        <f t="shared" si="94"/>
        <v/>
      </c>
      <c r="AM82" s="11" t="str">
        <f t="shared" si="94"/>
        <v/>
      </c>
      <c r="AN82" s="11" t="str">
        <f t="shared" si="94"/>
        <v/>
      </c>
      <c r="AO82" s="11" t="str">
        <f t="shared" si="94"/>
        <v/>
      </c>
      <c r="AP82" s="11" t="str">
        <f t="shared" si="94"/>
        <v/>
      </c>
      <c r="AQ82" s="11" t="str">
        <f t="shared" si="94"/>
        <v/>
      </c>
      <c r="AR82" s="11" t="str">
        <f t="shared" si="94"/>
        <v/>
      </c>
      <c r="AS82" s="11" t="str">
        <f t="shared" si="94"/>
        <v/>
      </c>
      <c r="AT82" s="11" t="str">
        <f t="shared" si="94"/>
        <v/>
      </c>
      <c r="AU82" s="11" t="str">
        <f t="shared" si="95"/>
        <v/>
      </c>
      <c r="AV82" s="11" t="str">
        <f t="shared" si="95"/>
        <v/>
      </c>
      <c r="AW82" s="11" t="str">
        <f t="shared" si="95"/>
        <v/>
      </c>
      <c r="AX82" s="11" t="str">
        <f t="shared" si="95"/>
        <v/>
      </c>
      <c r="AY82" s="11" t="str">
        <f t="shared" si="95"/>
        <v/>
      </c>
      <c r="AZ82" s="11" t="str">
        <f t="shared" si="95"/>
        <v/>
      </c>
      <c r="BA82" s="11" t="str">
        <f t="shared" si="95"/>
        <v/>
      </c>
      <c r="BB82" s="11" t="str">
        <f t="shared" si="95"/>
        <v/>
      </c>
      <c r="BC82" s="11" t="str">
        <f t="shared" si="95"/>
        <v/>
      </c>
      <c r="BD82" s="11" t="str">
        <f t="shared" si="95"/>
        <v/>
      </c>
      <c r="BE82" s="11" t="str">
        <f t="shared" si="96"/>
        <v/>
      </c>
      <c r="BF82" s="11" t="str">
        <f t="shared" si="96"/>
        <v/>
      </c>
      <c r="BG82" s="11" t="str">
        <f t="shared" si="96"/>
        <v/>
      </c>
      <c r="BH82" s="11" t="str">
        <f t="shared" si="96"/>
        <v/>
      </c>
      <c r="BI82" s="11" t="str">
        <f t="shared" si="96"/>
        <v/>
      </c>
      <c r="BJ82" s="11" t="str">
        <f t="shared" si="96"/>
        <v/>
      </c>
      <c r="BK82" s="11" t="str">
        <f t="shared" si="96"/>
        <v/>
      </c>
      <c r="BL82" s="11" t="str">
        <f t="shared" si="96"/>
        <v/>
      </c>
      <c r="BM82" s="11" t="str">
        <f t="shared" si="96"/>
        <v/>
      </c>
      <c r="BN82" s="11" t="str">
        <f t="shared" si="96"/>
        <v/>
      </c>
      <c r="BO82" s="11" t="str">
        <f t="shared" si="97"/>
        <v/>
      </c>
      <c r="BP82" s="11" t="str">
        <f t="shared" si="97"/>
        <v/>
      </c>
      <c r="BQ82" s="11" t="str">
        <f t="shared" si="97"/>
        <v/>
      </c>
      <c r="BR82" s="11" t="str">
        <f t="shared" si="97"/>
        <v/>
      </c>
      <c r="BS82" s="11" t="str">
        <f t="shared" si="97"/>
        <v/>
      </c>
      <c r="BT82" s="11" t="str">
        <f t="shared" si="97"/>
        <v/>
      </c>
      <c r="BU82" s="11" t="str">
        <f t="shared" si="97"/>
        <v/>
      </c>
      <c r="BV82" s="11" t="str">
        <f t="shared" si="97"/>
        <v/>
      </c>
      <c r="BW82" s="11" t="str">
        <f t="shared" si="97"/>
        <v/>
      </c>
      <c r="BX82" s="11" t="str">
        <f t="shared" si="97"/>
        <v/>
      </c>
      <c r="BY82" s="11" t="str">
        <f t="shared" si="98"/>
        <v/>
      </c>
      <c r="BZ82" s="11" t="str">
        <f t="shared" si="98"/>
        <v/>
      </c>
      <c r="CA82" s="11" t="str">
        <f t="shared" si="98"/>
        <v/>
      </c>
      <c r="CB82" s="11" t="str">
        <f t="shared" si="98"/>
        <v/>
      </c>
      <c r="CC82" s="11" t="str">
        <f t="shared" si="98"/>
        <v/>
      </c>
      <c r="CD82" s="11" t="str">
        <f t="shared" si="98"/>
        <v/>
      </c>
      <c r="CE82" s="11" t="str">
        <f t="shared" si="98"/>
        <v/>
      </c>
      <c r="CF82" s="11" t="str">
        <f t="shared" si="98"/>
        <v/>
      </c>
      <c r="CG82" s="11" t="str">
        <f t="shared" si="98"/>
        <v/>
      </c>
      <c r="CH82" s="11" t="str">
        <f t="shared" si="98"/>
        <v/>
      </c>
      <c r="CI82" s="11" t="str">
        <f t="shared" si="99"/>
        <v/>
      </c>
      <c r="CJ82" s="11" t="str">
        <f t="shared" si="99"/>
        <v/>
      </c>
      <c r="CK82" s="11" t="str">
        <f t="shared" si="99"/>
        <v/>
      </c>
      <c r="CL82" s="11" t="str">
        <f t="shared" si="99"/>
        <v/>
      </c>
      <c r="CM82" s="11" t="str">
        <f t="shared" si="99"/>
        <v/>
      </c>
      <c r="CN82" s="11" t="str">
        <f t="shared" si="99"/>
        <v/>
      </c>
      <c r="CO82" s="11" t="str">
        <f t="shared" si="99"/>
        <v/>
      </c>
      <c r="CP82" s="11" t="str">
        <f t="shared" si="99"/>
        <v/>
      </c>
      <c r="CQ82" s="11" t="str">
        <f t="shared" si="99"/>
        <v/>
      </c>
      <c r="CR82" s="11" t="str">
        <f t="shared" si="99"/>
        <v/>
      </c>
      <c r="CS82" s="11" t="str">
        <f t="shared" si="100"/>
        <v/>
      </c>
      <c r="CT82" s="11" t="str">
        <f t="shared" si="100"/>
        <v/>
      </c>
      <c r="CU82" s="11" t="str">
        <f t="shared" si="100"/>
        <v/>
      </c>
      <c r="CV82" s="11" t="str">
        <f t="shared" si="100"/>
        <v/>
      </c>
      <c r="CW82" s="11" t="str">
        <f t="shared" si="100"/>
        <v/>
      </c>
      <c r="CX82" s="11" t="str">
        <f t="shared" si="100"/>
        <v>▪</v>
      </c>
      <c r="CY82" s="11" t="str">
        <f t="shared" si="100"/>
        <v>▪</v>
      </c>
      <c r="CZ82" s="11" t="str">
        <f t="shared" si="100"/>
        <v>▪</v>
      </c>
      <c r="DA82" s="11" t="str">
        <f t="shared" si="100"/>
        <v/>
      </c>
      <c r="DB82" s="11" t="str">
        <f t="shared" si="100"/>
        <v/>
      </c>
      <c r="DC82" s="11" t="str">
        <f t="shared" si="101"/>
        <v/>
      </c>
      <c r="DD82" s="11" t="str">
        <f t="shared" si="101"/>
        <v/>
      </c>
      <c r="DE82" s="11" t="str">
        <f t="shared" si="101"/>
        <v/>
      </c>
      <c r="DF82" s="11" t="str">
        <f t="shared" si="101"/>
        <v/>
      </c>
      <c r="DG82" s="11" t="str">
        <f t="shared" si="101"/>
        <v/>
      </c>
      <c r="DH82" s="11" t="str">
        <f t="shared" si="101"/>
        <v/>
      </c>
      <c r="DI82" s="11" t="str">
        <f t="shared" si="101"/>
        <v/>
      </c>
      <c r="DJ82" s="11" t="str">
        <f t="shared" si="101"/>
        <v/>
      </c>
      <c r="DK82" s="11" t="str">
        <f t="shared" si="101"/>
        <v/>
      </c>
      <c r="DL82" s="11" t="str">
        <f t="shared" si="101"/>
        <v/>
      </c>
      <c r="DM82" s="11" t="str">
        <f t="shared" si="102"/>
        <v/>
      </c>
      <c r="DN82" s="11" t="str">
        <f t="shared" si="102"/>
        <v/>
      </c>
      <c r="DO82" s="11" t="str">
        <f t="shared" si="102"/>
        <v/>
      </c>
      <c r="DP82" s="11" t="str">
        <f t="shared" si="102"/>
        <v/>
      </c>
      <c r="DQ82" s="11" t="str">
        <f t="shared" si="102"/>
        <v/>
      </c>
      <c r="DR82" s="11" t="str">
        <f t="shared" si="102"/>
        <v/>
      </c>
      <c r="DS82" s="11" t="str">
        <f t="shared" si="102"/>
        <v/>
      </c>
      <c r="DT82" s="11" t="str">
        <f t="shared" si="102"/>
        <v/>
      </c>
      <c r="DU82" s="11" t="str">
        <f t="shared" si="102"/>
        <v/>
      </c>
      <c r="DV82" s="11" t="str">
        <f t="shared" si="102"/>
        <v/>
      </c>
      <c r="DW82" s="11" t="str">
        <f t="shared" si="103"/>
        <v/>
      </c>
      <c r="DX82" s="11" t="str">
        <f t="shared" si="103"/>
        <v/>
      </c>
      <c r="DY82" s="11" t="str">
        <f t="shared" si="103"/>
        <v/>
      </c>
      <c r="DZ82" s="11" t="str">
        <f t="shared" si="103"/>
        <v/>
      </c>
      <c r="EA82" s="11" t="str">
        <f t="shared" si="103"/>
        <v/>
      </c>
      <c r="EB82" s="11" t="str">
        <f t="shared" si="103"/>
        <v/>
      </c>
      <c r="EC82" s="11" t="str">
        <f t="shared" si="103"/>
        <v/>
      </c>
      <c r="ED82" s="11" t="str">
        <f t="shared" si="103"/>
        <v/>
      </c>
      <c r="EE82" s="11" t="str">
        <f t="shared" si="103"/>
        <v/>
      </c>
      <c r="EF82" s="11" t="str">
        <f t="shared" si="103"/>
        <v/>
      </c>
      <c r="EG82" s="11" t="str">
        <f t="shared" si="103"/>
        <v/>
      </c>
      <c r="EH82" s="11" t="str">
        <f t="shared" si="103"/>
        <v/>
      </c>
    </row>
    <row r="83" spans="1:138" ht="13.5" customHeight="1">
      <c r="A83" s="55"/>
      <c r="B83" s="55"/>
      <c r="C83" s="55"/>
      <c r="D83" s="12" t="s">
        <v>80</v>
      </c>
      <c r="E83" s="10"/>
      <c r="F83" s="10"/>
      <c r="G83" s="13" t="str">
        <f t="shared" si="91"/>
        <v/>
      </c>
      <c r="H83" s="13" t="str">
        <f t="shared" si="91"/>
        <v/>
      </c>
      <c r="I83" s="13" t="str">
        <f t="shared" si="91"/>
        <v/>
      </c>
      <c r="J83" s="13" t="str">
        <f t="shared" si="91"/>
        <v/>
      </c>
      <c r="K83" s="13" t="str">
        <f t="shared" si="91"/>
        <v/>
      </c>
      <c r="L83" s="13" t="str">
        <f t="shared" si="91"/>
        <v/>
      </c>
      <c r="M83" s="13" t="str">
        <f t="shared" si="91"/>
        <v/>
      </c>
      <c r="N83" s="13" t="str">
        <f t="shared" si="91"/>
        <v/>
      </c>
      <c r="O83" s="13" t="str">
        <f t="shared" si="91"/>
        <v/>
      </c>
      <c r="P83" s="13" t="str">
        <f t="shared" si="91"/>
        <v/>
      </c>
      <c r="Q83" s="13" t="str">
        <f t="shared" si="92"/>
        <v/>
      </c>
      <c r="R83" s="13" t="str">
        <f t="shared" si="92"/>
        <v/>
      </c>
      <c r="S83" s="13" t="str">
        <f t="shared" si="92"/>
        <v/>
      </c>
      <c r="T83" s="13" t="str">
        <f t="shared" si="92"/>
        <v/>
      </c>
      <c r="U83" s="13" t="str">
        <f t="shared" si="92"/>
        <v/>
      </c>
      <c r="V83" s="13" t="str">
        <f t="shared" si="92"/>
        <v/>
      </c>
      <c r="W83" s="13" t="str">
        <f t="shared" si="92"/>
        <v/>
      </c>
      <c r="X83" s="13" t="str">
        <f t="shared" si="92"/>
        <v/>
      </c>
      <c r="Y83" s="13" t="str">
        <f t="shared" si="92"/>
        <v/>
      </c>
      <c r="Z83" s="13" t="str">
        <f t="shared" si="92"/>
        <v/>
      </c>
      <c r="AA83" s="13" t="str">
        <f t="shared" si="93"/>
        <v/>
      </c>
      <c r="AB83" s="13" t="str">
        <f t="shared" si="93"/>
        <v/>
      </c>
      <c r="AC83" s="13" t="str">
        <f t="shared" si="93"/>
        <v/>
      </c>
      <c r="AD83" s="13" t="str">
        <f t="shared" si="93"/>
        <v/>
      </c>
      <c r="AE83" s="13" t="str">
        <f t="shared" si="93"/>
        <v/>
      </c>
      <c r="AF83" s="13" t="str">
        <f t="shared" si="93"/>
        <v/>
      </c>
      <c r="AG83" s="13" t="str">
        <f t="shared" si="93"/>
        <v/>
      </c>
      <c r="AH83" s="13" t="str">
        <f t="shared" si="93"/>
        <v/>
      </c>
      <c r="AI83" s="13" t="str">
        <f t="shared" si="93"/>
        <v/>
      </c>
      <c r="AJ83" s="13" t="str">
        <f t="shared" si="93"/>
        <v/>
      </c>
      <c r="AK83" s="13" t="str">
        <f t="shared" si="94"/>
        <v/>
      </c>
      <c r="AL83" s="13" t="str">
        <f t="shared" si="94"/>
        <v/>
      </c>
      <c r="AM83" s="13" t="str">
        <f t="shared" si="94"/>
        <v/>
      </c>
      <c r="AN83" s="13" t="str">
        <f t="shared" si="94"/>
        <v/>
      </c>
      <c r="AO83" s="13" t="str">
        <f t="shared" si="94"/>
        <v/>
      </c>
      <c r="AP83" s="13" t="str">
        <f t="shared" si="94"/>
        <v/>
      </c>
      <c r="AQ83" s="13" t="str">
        <f t="shared" si="94"/>
        <v/>
      </c>
      <c r="AR83" s="13" t="str">
        <f t="shared" si="94"/>
        <v/>
      </c>
      <c r="AS83" s="13" t="str">
        <f t="shared" si="94"/>
        <v/>
      </c>
      <c r="AT83" s="13" t="str">
        <f t="shared" si="94"/>
        <v/>
      </c>
      <c r="AU83" s="13" t="str">
        <f t="shared" si="95"/>
        <v/>
      </c>
      <c r="AV83" s="13" t="str">
        <f t="shared" si="95"/>
        <v/>
      </c>
      <c r="AW83" s="13" t="str">
        <f t="shared" si="95"/>
        <v/>
      </c>
      <c r="AX83" s="13" t="str">
        <f t="shared" si="95"/>
        <v/>
      </c>
      <c r="AY83" s="13" t="str">
        <f t="shared" si="95"/>
        <v/>
      </c>
      <c r="AZ83" s="13" t="str">
        <f t="shared" si="95"/>
        <v/>
      </c>
      <c r="BA83" s="13" t="str">
        <f t="shared" si="95"/>
        <v/>
      </c>
      <c r="BB83" s="13" t="str">
        <f t="shared" si="95"/>
        <v/>
      </c>
      <c r="BC83" s="13" t="str">
        <f t="shared" si="95"/>
        <v/>
      </c>
      <c r="BD83" s="13" t="str">
        <f t="shared" si="95"/>
        <v/>
      </c>
      <c r="BE83" s="13" t="str">
        <f t="shared" si="96"/>
        <v/>
      </c>
      <c r="BF83" s="13" t="str">
        <f t="shared" si="96"/>
        <v/>
      </c>
      <c r="BG83" s="13" t="str">
        <f t="shared" si="96"/>
        <v/>
      </c>
      <c r="BH83" s="13" t="str">
        <f t="shared" si="96"/>
        <v/>
      </c>
      <c r="BI83" s="13" t="str">
        <f t="shared" si="96"/>
        <v/>
      </c>
      <c r="BJ83" s="13" t="str">
        <f t="shared" si="96"/>
        <v/>
      </c>
      <c r="BK83" s="13" t="str">
        <f t="shared" si="96"/>
        <v/>
      </c>
      <c r="BL83" s="13" t="str">
        <f t="shared" si="96"/>
        <v/>
      </c>
      <c r="BM83" s="13" t="str">
        <f t="shared" si="96"/>
        <v/>
      </c>
      <c r="BN83" s="13" t="str">
        <f t="shared" si="96"/>
        <v/>
      </c>
      <c r="BO83" s="13" t="str">
        <f t="shared" si="97"/>
        <v/>
      </c>
      <c r="BP83" s="13" t="str">
        <f t="shared" si="97"/>
        <v/>
      </c>
      <c r="BQ83" s="13" t="str">
        <f t="shared" si="97"/>
        <v/>
      </c>
      <c r="BR83" s="13" t="str">
        <f t="shared" si="97"/>
        <v/>
      </c>
      <c r="BS83" s="13" t="str">
        <f t="shared" si="97"/>
        <v/>
      </c>
      <c r="BT83" s="13" t="str">
        <f t="shared" si="97"/>
        <v/>
      </c>
      <c r="BU83" s="13" t="str">
        <f t="shared" si="97"/>
        <v/>
      </c>
      <c r="BV83" s="13" t="str">
        <f t="shared" si="97"/>
        <v/>
      </c>
      <c r="BW83" s="13" t="str">
        <f t="shared" si="97"/>
        <v/>
      </c>
      <c r="BX83" s="13" t="str">
        <f t="shared" si="97"/>
        <v/>
      </c>
      <c r="BY83" s="13" t="str">
        <f t="shared" si="98"/>
        <v/>
      </c>
      <c r="BZ83" s="13" t="str">
        <f t="shared" si="98"/>
        <v/>
      </c>
      <c r="CA83" s="13" t="str">
        <f t="shared" si="98"/>
        <v/>
      </c>
      <c r="CB83" s="13" t="str">
        <f t="shared" si="98"/>
        <v/>
      </c>
      <c r="CC83" s="13" t="str">
        <f t="shared" si="98"/>
        <v/>
      </c>
      <c r="CD83" s="13" t="str">
        <f t="shared" si="98"/>
        <v/>
      </c>
      <c r="CE83" s="13" t="str">
        <f t="shared" si="98"/>
        <v/>
      </c>
      <c r="CF83" s="13" t="str">
        <f t="shared" si="98"/>
        <v/>
      </c>
      <c r="CG83" s="13" t="str">
        <f t="shared" si="98"/>
        <v/>
      </c>
      <c r="CH83" s="13" t="str">
        <f t="shared" si="98"/>
        <v/>
      </c>
      <c r="CI83" s="13" t="str">
        <f t="shared" si="99"/>
        <v/>
      </c>
      <c r="CJ83" s="13" t="str">
        <f t="shared" si="99"/>
        <v/>
      </c>
      <c r="CK83" s="13" t="str">
        <f t="shared" si="99"/>
        <v/>
      </c>
      <c r="CL83" s="13" t="str">
        <f t="shared" si="99"/>
        <v/>
      </c>
      <c r="CM83" s="13" t="str">
        <f t="shared" si="99"/>
        <v/>
      </c>
      <c r="CN83" s="13" t="str">
        <f t="shared" si="99"/>
        <v/>
      </c>
      <c r="CO83" s="13" t="str">
        <f t="shared" si="99"/>
        <v/>
      </c>
      <c r="CP83" s="13" t="str">
        <f t="shared" si="99"/>
        <v/>
      </c>
      <c r="CQ83" s="13" t="str">
        <f t="shared" si="99"/>
        <v/>
      </c>
      <c r="CR83" s="13" t="str">
        <f t="shared" si="99"/>
        <v/>
      </c>
      <c r="CS83" s="13" t="str">
        <f t="shared" si="100"/>
        <v/>
      </c>
      <c r="CT83" s="13" t="str">
        <f t="shared" si="100"/>
        <v/>
      </c>
      <c r="CU83" s="13" t="str">
        <f t="shared" si="100"/>
        <v/>
      </c>
      <c r="CV83" s="13" t="str">
        <f t="shared" si="100"/>
        <v/>
      </c>
      <c r="CW83" s="13" t="str">
        <f t="shared" si="100"/>
        <v/>
      </c>
      <c r="CX83" s="13" t="str">
        <f t="shared" si="100"/>
        <v/>
      </c>
      <c r="CY83" s="13" t="str">
        <f t="shared" si="100"/>
        <v/>
      </c>
      <c r="CZ83" s="13" t="str">
        <f t="shared" si="100"/>
        <v/>
      </c>
      <c r="DA83" s="13" t="str">
        <f t="shared" si="100"/>
        <v/>
      </c>
      <c r="DB83" s="13" t="str">
        <f t="shared" si="100"/>
        <v/>
      </c>
      <c r="DC83" s="13" t="str">
        <f t="shared" si="101"/>
        <v/>
      </c>
      <c r="DD83" s="13" t="str">
        <f t="shared" si="101"/>
        <v/>
      </c>
      <c r="DE83" s="13" t="str">
        <f t="shared" si="101"/>
        <v/>
      </c>
      <c r="DF83" s="13" t="str">
        <f t="shared" si="101"/>
        <v/>
      </c>
      <c r="DG83" s="13" t="str">
        <f t="shared" si="101"/>
        <v/>
      </c>
      <c r="DH83" s="13" t="str">
        <f t="shared" si="101"/>
        <v/>
      </c>
      <c r="DI83" s="13" t="str">
        <f t="shared" si="101"/>
        <v/>
      </c>
      <c r="DJ83" s="13" t="str">
        <f t="shared" si="101"/>
        <v/>
      </c>
      <c r="DK83" s="13" t="str">
        <f t="shared" si="101"/>
        <v/>
      </c>
      <c r="DL83" s="13" t="str">
        <f t="shared" si="101"/>
        <v/>
      </c>
      <c r="DM83" s="13" t="str">
        <f t="shared" si="102"/>
        <v/>
      </c>
      <c r="DN83" s="13" t="str">
        <f t="shared" si="102"/>
        <v/>
      </c>
      <c r="DO83" s="13" t="str">
        <f t="shared" si="102"/>
        <v/>
      </c>
      <c r="DP83" s="13" t="str">
        <f t="shared" si="102"/>
        <v/>
      </c>
      <c r="DQ83" s="13" t="str">
        <f t="shared" si="102"/>
        <v/>
      </c>
      <c r="DR83" s="13" t="str">
        <f t="shared" si="102"/>
        <v/>
      </c>
      <c r="DS83" s="13" t="str">
        <f t="shared" si="102"/>
        <v/>
      </c>
      <c r="DT83" s="13" t="str">
        <f t="shared" si="102"/>
        <v/>
      </c>
      <c r="DU83" s="13" t="str">
        <f t="shared" si="102"/>
        <v/>
      </c>
      <c r="DV83" s="13" t="str">
        <f t="shared" si="102"/>
        <v/>
      </c>
      <c r="DW83" s="13" t="str">
        <f t="shared" si="103"/>
        <v/>
      </c>
      <c r="DX83" s="13" t="str">
        <f t="shared" si="103"/>
        <v/>
      </c>
      <c r="DY83" s="13" t="str">
        <f t="shared" si="103"/>
        <v/>
      </c>
      <c r="DZ83" s="13" t="str">
        <f t="shared" si="103"/>
        <v/>
      </c>
      <c r="EA83" s="13" t="str">
        <f t="shared" si="103"/>
        <v/>
      </c>
      <c r="EB83" s="13" t="str">
        <f t="shared" si="103"/>
        <v/>
      </c>
      <c r="EC83" s="13" t="str">
        <f t="shared" si="103"/>
        <v/>
      </c>
      <c r="ED83" s="13" t="str">
        <f t="shared" si="103"/>
        <v/>
      </c>
      <c r="EE83" s="13" t="str">
        <f t="shared" si="103"/>
        <v/>
      </c>
      <c r="EF83" s="13" t="str">
        <f t="shared" si="103"/>
        <v/>
      </c>
      <c r="EG83" s="13" t="str">
        <f t="shared" si="103"/>
        <v/>
      </c>
      <c r="EH83" s="13" t="str">
        <f t="shared" si="103"/>
        <v/>
      </c>
    </row>
    <row r="84" spans="1:138" ht="13.5" customHeight="1">
      <c r="A84" s="55" t="s">
        <v>164</v>
      </c>
      <c r="B84" s="56" t="s">
        <v>165</v>
      </c>
      <c r="C84" s="57" t="s">
        <v>86</v>
      </c>
      <c r="D84" s="9" t="s">
        <v>79</v>
      </c>
      <c r="E84" s="10">
        <v>46343</v>
      </c>
      <c r="F84" s="10">
        <v>46354</v>
      </c>
      <c r="G84" s="11" t="str">
        <f t="shared" si="91"/>
        <v/>
      </c>
      <c r="H84" s="11" t="str">
        <f t="shared" si="91"/>
        <v/>
      </c>
      <c r="I84" s="11" t="str">
        <f t="shared" si="91"/>
        <v/>
      </c>
      <c r="J84" s="11" t="str">
        <f t="shared" si="91"/>
        <v/>
      </c>
      <c r="K84" s="11" t="str">
        <f t="shared" si="91"/>
        <v/>
      </c>
      <c r="L84" s="11" t="str">
        <f t="shared" si="91"/>
        <v/>
      </c>
      <c r="M84" s="11" t="str">
        <f t="shared" si="91"/>
        <v/>
      </c>
      <c r="N84" s="11" t="str">
        <f t="shared" si="91"/>
        <v/>
      </c>
      <c r="O84" s="11" t="str">
        <f t="shared" si="91"/>
        <v/>
      </c>
      <c r="P84" s="11" t="str">
        <f t="shared" si="91"/>
        <v/>
      </c>
      <c r="Q84" s="11" t="str">
        <f t="shared" si="92"/>
        <v/>
      </c>
      <c r="R84" s="11" t="str">
        <f t="shared" si="92"/>
        <v/>
      </c>
      <c r="S84" s="11" t="str">
        <f t="shared" si="92"/>
        <v/>
      </c>
      <c r="T84" s="11" t="str">
        <f t="shared" si="92"/>
        <v/>
      </c>
      <c r="U84" s="11" t="str">
        <f t="shared" si="92"/>
        <v/>
      </c>
      <c r="V84" s="11" t="str">
        <f t="shared" si="92"/>
        <v/>
      </c>
      <c r="W84" s="11" t="str">
        <f t="shared" si="92"/>
        <v/>
      </c>
      <c r="X84" s="11" t="str">
        <f t="shared" si="92"/>
        <v/>
      </c>
      <c r="Y84" s="11" t="str">
        <f t="shared" si="92"/>
        <v/>
      </c>
      <c r="Z84" s="11" t="str">
        <f t="shared" si="92"/>
        <v/>
      </c>
      <c r="AA84" s="11" t="str">
        <f t="shared" si="93"/>
        <v/>
      </c>
      <c r="AB84" s="11" t="str">
        <f t="shared" si="93"/>
        <v/>
      </c>
      <c r="AC84" s="11" t="str">
        <f t="shared" si="93"/>
        <v/>
      </c>
      <c r="AD84" s="11" t="str">
        <f t="shared" si="93"/>
        <v/>
      </c>
      <c r="AE84" s="11" t="str">
        <f t="shared" si="93"/>
        <v/>
      </c>
      <c r="AF84" s="11" t="str">
        <f t="shared" si="93"/>
        <v/>
      </c>
      <c r="AG84" s="11" t="str">
        <f t="shared" si="93"/>
        <v/>
      </c>
      <c r="AH84" s="11" t="str">
        <f t="shared" si="93"/>
        <v/>
      </c>
      <c r="AI84" s="11" t="str">
        <f t="shared" si="93"/>
        <v/>
      </c>
      <c r="AJ84" s="11" t="str">
        <f t="shared" si="93"/>
        <v/>
      </c>
      <c r="AK84" s="11" t="str">
        <f t="shared" si="94"/>
        <v/>
      </c>
      <c r="AL84" s="11" t="str">
        <f t="shared" si="94"/>
        <v/>
      </c>
      <c r="AM84" s="11" t="str">
        <f t="shared" si="94"/>
        <v/>
      </c>
      <c r="AN84" s="11" t="str">
        <f t="shared" si="94"/>
        <v/>
      </c>
      <c r="AO84" s="11" t="str">
        <f t="shared" si="94"/>
        <v/>
      </c>
      <c r="AP84" s="11" t="str">
        <f t="shared" si="94"/>
        <v/>
      </c>
      <c r="AQ84" s="11" t="str">
        <f t="shared" si="94"/>
        <v/>
      </c>
      <c r="AR84" s="11" t="str">
        <f t="shared" si="94"/>
        <v/>
      </c>
      <c r="AS84" s="11" t="str">
        <f t="shared" si="94"/>
        <v/>
      </c>
      <c r="AT84" s="11" t="str">
        <f t="shared" si="94"/>
        <v/>
      </c>
      <c r="AU84" s="11" t="str">
        <f t="shared" si="95"/>
        <v/>
      </c>
      <c r="AV84" s="11" t="str">
        <f t="shared" si="95"/>
        <v/>
      </c>
      <c r="AW84" s="11" t="str">
        <f t="shared" si="95"/>
        <v/>
      </c>
      <c r="AX84" s="11" t="str">
        <f t="shared" si="95"/>
        <v/>
      </c>
      <c r="AY84" s="11" t="str">
        <f t="shared" si="95"/>
        <v/>
      </c>
      <c r="AZ84" s="11" t="str">
        <f t="shared" si="95"/>
        <v/>
      </c>
      <c r="BA84" s="11" t="str">
        <f t="shared" si="95"/>
        <v/>
      </c>
      <c r="BB84" s="11" t="str">
        <f t="shared" si="95"/>
        <v/>
      </c>
      <c r="BC84" s="11" t="str">
        <f t="shared" si="95"/>
        <v/>
      </c>
      <c r="BD84" s="11" t="str">
        <f t="shared" si="95"/>
        <v/>
      </c>
      <c r="BE84" s="11" t="str">
        <f t="shared" si="96"/>
        <v/>
      </c>
      <c r="BF84" s="11" t="str">
        <f t="shared" si="96"/>
        <v/>
      </c>
      <c r="BG84" s="11" t="str">
        <f t="shared" si="96"/>
        <v/>
      </c>
      <c r="BH84" s="11" t="str">
        <f t="shared" si="96"/>
        <v/>
      </c>
      <c r="BI84" s="11" t="str">
        <f t="shared" si="96"/>
        <v/>
      </c>
      <c r="BJ84" s="11" t="str">
        <f t="shared" si="96"/>
        <v/>
      </c>
      <c r="BK84" s="11" t="str">
        <f t="shared" si="96"/>
        <v/>
      </c>
      <c r="BL84" s="11" t="str">
        <f t="shared" si="96"/>
        <v/>
      </c>
      <c r="BM84" s="11" t="str">
        <f t="shared" si="96"/>
        <v/>
      </c>
      <c r="BN84" s="11" t="str">
        <f t="shared" si="96"/>
        <v/>
      </c>
      <c r="BO84" s="11" t="str">
        <f t="shared" si="97"/>
        <v/>
      </c>
      <c r="BP84" s="11" t="str">
        <f t="shared" si="97"/>
        <v/>
      </c>
      <c r="BQ84" s="11" t="str">
        <f t="shared" si="97"/>
        <v/>
      </c>
      <c r="BR84" s="11" t="str">
        <f t="shared" si="97"/>
        <v/>
      </c>
      <c r="BS84" s="11" t="str">
        <f t="shared" si="97"/>
        <v/>
      </c>
      <c r="BT84" s="11" t="str">
        <f t="shared" si="97"/>
        <v/>
      </c>
      <c r="BU84" s="11" t="str">
        <f t="shared" si="97"/>
        <v/>
      </c>
      <c r="BV84" s="11" t="str">
        <f t="shared" si="97"/>
        <v/>
      </c>
      <c r="BW84" s="11" t="str">
        <f t="shared" si="97"/>
        <v/>
      </c>
      <c r="BX84" s="11" t="str">
        <f t="shared" si="97"/>
        <v/>
      </c>
      <c r="BY84" s="11" t="str">
        <f t="shared" si="98"/>
        <v/>
      </c>
      <c r="BZ84" s="11" t="str">
        <f t="shared" si="98"/>
        <v/>
      </c>
      <c r="CA84" s="11" t="str">
        <f t="shared" si="98"/>
        <v/>
      </c>
      <c r="CB84" s="11" t="str">
        <f t="shared" si="98"/>
        <v/>
      </c>
      <c r="CC84" s="11" t="str">
        <f t="shared" si="98"/>
        <v/>
      </c>
      <c r="CD84" s="11" t="str">
        <f t="shared" si="98"/>
        <v/>
      </c>
      <c r="CE84" s="11" t="str">
        <f t="shared" si="98"/>
        <v/>
      </c>
      <c r="CF84" s="11" t="str">
        <f t="shared" si="98"/>
        <v/>
      </c>
      <c r="CG84" s="11" t="str">
        <f t="shared" si="98"/>
        <v/>
      </c>
      <c r="CH84" s="11" t="str">
        <f t="shared" si="98"/>
        <v/>
      </c>
      <c r="CI84" s="11" t="str">
        <f t="shared" si="99"/>
        <v/>
      </c>
      <c r="CJ84" s="11" t="str">
        <f t="shared" si="99"/>
        <v/>
      </c>
      <c r="CK84" s="11" t="str">
        <f t="shared" si="99"/>
        <v/>
      </c>
      <c r="CL84" s="11" t="str">
        <f t="shared" si="99"/>
        <v/>
      </c>
      <c r="CM84" s="11" t="str">
        <f t="shared" si="99"/>
        <v/>
      </c>
      <c r="CN84" s="11" t="str">
        <f t="shared" si="99"/>
        <v/>
      </c>
      <c r="CO84" s="11" t="str">
        <f t="shared" si="99"/>
        <v/>
      </c>
      <c r="CP84" s="11" t="str">
        <f t="shared" si="99"/>
        <v/>
      </c>
      <c r="CQ84" s="11" t="str">
        <f t="shared" si="99"/>
        <v/>
      </c>
      <c r="CR84" s="11" t="str">
        <f t="shared" si="99"/>
        <v/>
      </c>
      <c r="CS84" s="11" t="str">
        <f t="shared" si="100"/>
        <v/>
      </c>
      <c r="CT84" s="11" t="str">
        <f t="shared" si="100"/>
        <v/>
      </c>
      <c r="CU84" s="11" t="str">
        <f t="shared" si="100"/>
        <v/>
      </c>
      <c r="CV84" s="11" t="str">
        <f t="shared" si="100"/>
        <v/>
      </c>
      <c r="CW84" s="11" t="str">
        <f t="shared" si="100"/>
        <v/>
      </c>
      <c r="CX84" s="11" t="str">
        <f t="shared" si="100"/>
        <v/>
      </c>
      <c r="CY84" s="11" t="str">
        <f t="shared" si="100"/>
        <v/>
      </c>
      <c r="CZ84" s="11" t="str">
        <f t="shared" si="100"/>
        <v/>
      </c>
      <c r="DA84" s="11" t="str">
        <f t="shared" si="100"/>
        <v/>
      </c>
      <c r="DB84" s="11" t="str">
        <f t="shared" si="100"/>
        <v/>
      </c>
      <c r="DC84" s="11" t="str">
        <f t="shared" si="101"/>
        <v/>
      </c>
      <c r="DD84" s="11" t="str">
        <f t="shared" si="101"/>
        <v/>
      </c>
      <c r="DE84" s="11" t="str">
        <f t="shared" si="101"/>
        <v/>
      </c>
      <c r="DF84" s="11" t="str">
        <f t="shared" si="101"/>
        <v/>
      </c>
      <c r="DG84" s="11" t="str">
        <f t="shared" si="101"/>
        <v/>
      </c>
      <c r="DH84" s="11" t="str">
        <f t="shared" si="101"/>
        <v/>
      </c>
      <c r="DI84" s="11" t="str">
        <f t="shared" si="101"/>
        <v/>
      </c>
      <c r="DJ84" s="11" t="str">
        <f t="shared" si="101"/>
        <v/>
      </c>
      <c r="DK84" s="11" t="str">
        <f t="shared" si="101"/>
        <v>▪</v>
      </c>
      <c r="DL84" s="11" t="str">
        <f t="shared" si="101"/>
        <v>▪</v>
      </c>
      <c r="DM84" s="11" t="str">
        <f t="shared" si="102"/>
        <v>▪</v>
      </c>
      <c r="DN84" s="11" t="str">
        <f t="shared" si="102"/>
        <v>▪</v>
      </c>
      <c r="DO84" s="11" t="str">
        <f t="shared" si="102"/>
        <v>▪</v>
      </c>
      <c r="DP84" s="11" t="str">
        <f t="shared" si="102"/>
        <v>▪</v>
      </c>
      <c r="DQ84" s="11" t="str">
        <f t="shared" si="102"/>
        <v>▪</v>
      </c>
      <c r="DR84" s="11" t="str">
        <f t="shared" si="102"/>
        <v>▪</v>
      </c>
      <c r="DS84" s="11" t="str">
        <f t="shared" si="102"/>
        <v>▪</v>
      </c>
      <c r="DT84" s="11" t="str">
        <f t="shared" si="102"/>
        <v>▪</v>
      </c>
      <c r="DU84" s="11" t="str">
        <f t="shared" si="102"/>
        <v>▪</v>
      </c>
      <c r="DV84" s="11" t="str">
        <f t="shared" si="102"/>
        <v>▪</v>
      </c>
      <c r="DW84" s="11" t="str">
        <f t="shared" si="103"/>
        <v/>
      </c>
      <c r="DX84" s="11" t="str">
        <f t="shared" si="103"/>
        <v/>
      </c>
      <c r="DY84" s="11" t="str">
        <f t="shared" si="103"/>
        <v/>
      </c>
      <c r="DZ84" s="11" t="str">
        <f t="shared" si="103"/>
        <v/>
      </c>
      <c r="EA84" s="11" t="str">
        <f t="shared" si="103"/>
        <v/>
      </c>
      <c r="EB84" s="11" t="str">
        <f t="shared" si="103"/>
        <v/>
      </c>
      <c r="EC84" s="11" t="str">
        <f t="shared" si="103"/>
        <v/>
      </c>
      <c r="ED84" s="11" t="str">
        <f t="shared" si="103"/>
        <v/>
      </c>
      <c r="EE84" s="11" t="str">
        <f t="shared" si="103"/>
        <v/>
      </c>
      <c r="EF84" s="11" t="str">
        <f t="shared" si="103"/>
        <v/>
      </c>
      <c r="EG84" s="11" t="str">
        <f t="shared" si="103"/>
        <v/>
      </c>
      <c r="EH84" s="11" t="str">
        <f t="shared" si="103"/>
        <v/>
      </c>
    </row>
    <row r="85" spans="1:138" ht="13.5" customHeight="1">
      <c r="A85" s="55"/>
      <c r="B85" s="55"/>
      <c r="C85" s="55"/>
      <c r="D85" s="12" t="s">
        <v>80</v>
      </c>
      <c r="E85" s="10">
        <v>46298</v>
      </c>
      <c r="F85" s="10"/>
      <c r="G85" s="13" t="str">
        <f t="shared" si="91"/>
        <v/>
      </c>
      <c r="H85" s="13" t="str">
        <f t="shared" si="91"/>
        <v/>
      </c>
      <c r="I85" s="13" t="str">
        <f t="shared" si="91"/>
        <v/>
      </c>
      <c r="J85" s="13" t="str">
        <f t="shared" si="91"/>
        <v/>
      </c>
      <c r="K85" s="13" t="str">
        <f t="shared" si="91"/>
        <v/>
      </c>
      <c r="L85" s="13" t="str">
        <f t="shared" si="91"/>
        <v/>
      </c>
      <c r="M85" s="13" t="str">
        <f t="shared" si="91"/>
        <v/>
      </c>
      <c r="N85" s="13" t="str">
        <f t="shared" si="91"/>
        <v/>
      </c>
      <c r="O85" s="13" t="str">
        <f t="shared" si="91"/>
        <v/>
      </c>
      <c r="P85" s="13" t="str">
        <f t="shared" si="91"/>
        <v/>
      </c>
      <c r="Q85" s="13" t="str">
        <f t="shared" si="92"/>
        <v/>
      </c>
      <c r="R85" s="13" t="str">
        <f t="shared" si="92"/>
        <v/>
      </c>
      <c r="S85" s="13" t="str">
        <f t="shared" si="92"/>
        <v/>
      </c>
      <c r="T85" s="13" t="str">
        <f t="shared" si="92"/>
        <v/>
      </c>
      <c r="U85" s="13" t="str">
        <f t="shared" si="92"/>
        <v/>
      </c>
      <c r="V85" s="13" t="str">
        <f t="shared" si="92"/>
        <v/>
      </c>
      <c r="W85" s="13" t="str">
        <f t="shared" si="92"/>
        <v/>
      </c>
      <c r="X85" s="13" t="str">
        <f t="shared" si="92"/>
        <v/>
      </c>
      <c r="Y85" s="13" t="str">
        <f t="shared" si="92"/>
        <v/>
      </c>
      <c r="Z85" s="13" t="str">
        <f t="shared" si="92"/>
        <v/>
      </c>
      <c r="AA85" s="13" t="str">
        <f t="shared" si="93"/>
        <v/>
      </c>
      <c r="AB85" s="13" t="str">
        <f t="shared" si="93"/>
        <v/>
      </c>
      <c r="AC85" s="13" t="str">
        <f t="shared" si="93"/>
        <v/>
      </c>
      <c r="AD85" s="13" t="str">
        <f t="shared" si="93"/>
        <v/>
      </c>
      <c r="AE85" s="13" t="str">
        <f t="shared" si="93"/>
        <v/>
      </c>
      <c r="AF85" s="13" t="str">
        <f t="shared" si="93"/>
        <v/>
      </c>
      <c r="AG85" s="13" t="str">
        <f t="shared" si="93"/>
        <v/>
      </c>
      <c r="AH85" s="13" t="str">
        <f t="shared" si="93"/>
        <v/>
      </c>
      <c r="AI85" s="13" t="str">
        <f t="shared" si="93"/>
        <v/>
      </c>
      <c r="AJ85" s="13" t="str">
        <f t="shared" si="93"/>
        <v/>
      </c>
      <c r="AK85" s="13" t="str">
        <f t="shared" si="94"/>
        <v/>
      </c>
      <c r="AL85" s="13" t="str">
        <f t="shared" si="94"/>
        <v/>
      </c>
      <c r="AM85" s="13" t="str">
        <f t="shared" si="94"/>
        <v/>
      </c>
      <c r="AN85" s="13" t="str">
        <f t="shared" si="94"/>
        <v/>
      </c>
      <c r="AO85" s="13" t="str">
        <f t="shared" si="94"/>
        <v/>
      </c>
      <c r="AP85" s="13" t="str">
        <f t="shared" si="94"/>
        <v/>
      </c>
      <c r="AQ85" s="13" t="str">
        <f t="shared" si="94"/>
        <v/>
      </c>
      <c r="AR85" s="13" t="str">
        <f t="shared" si="94"/>
        <v/>
      </c>
      <c r="AS85" s="13" t="str">
        <f t="shared" si="94"/>
        <v/>
      </c>
      <c r="AT85" s="13" t="str">
        <f t="shared" si="94"/>
        <v/>
      </c>
      <c r="AU85" s="13" t="str">
        <f t="shared" si="95"/>
        <v/>
      </c>
      <c r="AV85" s="13" t="str">
        <f t="shared" si="95"/>
        <v/>
      </c>
      <c r="AW85" s="13" t="str">
        <f t="shared" si="95"/>
        <v/>
      </c>
      <c r="AX85" s="13" t="str">
        <f t="shared" si="95"/>
        <v/>
      </c>
      <c r="AY85" s="13" t="str">
        <f t="shared" si="95"/>
        <v/>
      </c>
      <c r="AZ85" s="13" t="str">
        <f t="shared" si="95"/>
        <v/>
      </c>
      <c r="BA85" s="13" t="str">
        <f t="shared" si="95"/>
        <v/>
      </c>
      <c r="BB85" s="13" t="str">
        <f t="shared" si="95"/>
        <v/>
      </c>
      <c r="BC85" s="13" t="str">
        <f t="shared" si="95"/>
        <v/>
      </c>
      <c r="BD85" s="13" t="str">
        <f t="shared" si="95"/>
        <v/>
      </c>
      <c r="BE85" s="13" t="str">
        <f t="shared" si="96"/>
        <v/>
      </c>
      <c r="BF85" s="13" t="str">
        <f t="shared" si="96"/>
        <v/>
      </c>
      <c r="BG85" s="13" t="str">
        <f t="shared" si="96"/>
        <v/>
      </c>
      <c r="BH85" s="13" t="str">
        <f t="shared" si="96"/>
        <v/>
      </c>
      <c r="BI85" s="13" t="str">
        <f t="shared" si="96"/>
        <v/>
      </c>
      <c r="BJ85" s="13" t="str">
        <f t="shared" si="96"/>
        <v/>
      </c>
      <c r="BK85" s="13" t="str">
        <f t="shared" si="96"/>
        <v/>
      </c>
      <c r="BL85" s="13" t="str">
        <f t="shared" si="96"/>
        <v/>
      </c>
      <c r="BM85" s="13" t="str">
        <f t="shared" si="96"/>
        <v/>
      </c>
      <c r="BN85" s="13" t="str">
        <f t="shared" si="96"/>
        <v/>
      </c>
      <c r="BO85" s="13" t="str">
        <f t="shared" si="97"/>
        <v/>
      </c>
      <c r="BP85" s="13" t="str">
        <f t="shared" si="97"/>
        <v/>
      </c>
      <c r="BQ85" s="13" t="str">
        <f t="shared" si="97"/>
        <v/>
      </c>
      <c r="BR85" s="13" t="str">
        <f t="shared" si="97"/>
        <v/>
      </c>
      <c r="BS85" s="13" t="str">
        <f t="shared" si="97"/>
        <v/>
      </c>
      <c r="BT85" s="13" t="str">
        <f t="shared" si="97"/>
        <v/>
      </c>
      <c r="BU85" s="13" t="str">
        <f t="shared" si="97"/>
        <v/>
      </c>
      <c r="BV85" s="13" t="str">
        <f t="shared" si="97"/>
        <v/>
      </c>
      <c r="BW85" s="13" t="str">
        <f t="shared" si="97"/>
        <v/>
      </c>
      <c r="BX85" s="13" t="str">
        <f t="shared" si="97"/>
        <v/>
      </c>
      <c r="BY85" s="13" t="str">
        <f t="shared" si="98"/>
        <v/>
      </c>
      <c r="BZ85" s="13" t="str">
        <f t="shared" si="98"/>
        <v/>
      </c>
      <c r="CA85" s="13" t="str">
        <f t="shared" si="98"/>
        <v/>
      </c>
      <c r="CB85" s="13" t="str">
        <f t="shared" si="98"/>
        <v/>
      </c>
      <c r="CC85" s="13" t="str">
        <f t="shared" si="98"/>
        <v/>
      </c>
      <c r="CD85" s="13" t="str">
        <f t="shared" si="98"/>
        <v/>
      </c>
      <c r="CE85" s="13" t="str">
        <f t="shared" si="98"/>
        <v/>
      </c>
      <c r="CF85" s="13" t="str">
        <f t="shared" si="98"/>
        <v/>
      </c>
      <c r="CG85" s="13" t="str">
        <f t="shared" si="98"/>
        <v/>
      </c>
      <c r="CH85" s="13" t="str">
        <f t="shared" si="98"/>
        <v/>
      </c>
      <c r="CI85" s="13" t="str">
        <f t="shared" si="99"/>
        <v/>
      </c>
      <c r="CJ85" s="13" t="str">
        <f t="shared" si="99"/>
        <v/>
      </c>
      <c r="CK85" s="13" t="str">
        <f t="shared" si="99"/>
        <v/>
      </c>
      <c r="CL85" s="13" t="str">
        <f t="shared" si="99"/>
        <v/>
      </c>
      <c r="CM85" s="13" t="str">
        <f t="shared" si="99"/>
        <v/>
      </c>
      <c r="CN85" s="13" t="str">
        <f t="shared" si="99"/>
        <v/>
      </c>
      <c r="CO85" s="13" t="str">
        <f t="shared" si="99"/>
        <v/>
      </c>
      <c r="CP85" s="13" t="str">
        <f t="shared" si="99"/>
        <v/>
      </c>
      <c r="CQ85" s="13" t="str">
        <f t="shared" si="99"/>
        <v/>
      </c>
      <c r="CR85" s="13" t="str">
        <f t="shared" si="99"/>
        <v/>
      </c>
      <c r="CS85" s="13" t="str">
        <f t="shared" si="100"/>
        <v/>
      </c>
      <c r="CT85" s="13" t="str">
        <f t="shared" si="100"/>
        <v/>
      </c>
      <c r="CU85" s="13" t="str">
        <f t="shared" si="100"/>
        <v/>
      </c>
      <c r="CV85" s="13" t="str">
        <f t="shared" si="100"/>
        <v/>
      </c>
      <c r="CW85" s="13" t="str">
        <f t="shared" si="100"/>
        <v/>
      </c>
      <c r="CX85" s="13" t="str">
        <f t="shared" si="100"/>
        <v/>
      </c>
      <c r="CY85" s="13" t="str">
        <f t="shared" si="100"/>
        <v/>
      </c>
      <c r="CZ85" s="13" t="str">
        <f t="shared" si="100"/>
        <v/>
      </c>
      <c r="DA85" s="13" t="str">
        <f t="shared" si="100"/>
        <v/>
      </c>
      <c r="DB85" s="13" t="str">
        <f t="shared" si="100"/>
        <v/>
      </c>
      <c r="DC85" s="13" t="str">
        <f t="shared" si="101"/>
        <v/>
      </c>
      <c r="DD85" s="13" t="str">
        <f t="shared" si="101"/>
        <v/>
      </c>
      <c r="DE85" s="13" t="str">
        <f t="shared" si="101"/>
        <v/>
      </c>
      <c r="DF85" s="13" t="str">
        <f t="shared" si="101"/>
        <v/>
      </c>
      <c r="DG85" s="13" t="str">
        <f t="shared" si="101"/>
        <v/>
      </c>
      <c r="DH85" s="13" t="str">
        <f t="shared" si="101"/>
        <v/>
      </c>
      <c r="DI85" s="13" t="str">
        <f t="shared" si="101"/>
        <v/>
      </c>
      <c r="DJ85" s="13" t="str">
        <f t="shared" si="101"/>
        <v/>
      </c>
      <c r="DK85" s="13" t="str">
        <f t="shared" si="101"/>
        <v/>
      </c>
      <c r="DL85" s="13" t="str">
        <f t="shared" si="101"/>
        <v/>
      </c>
      <c r="DM85" s="13" t="str">
        <f t="shared" si="102"/>
        <v/>
      </c>
      <c r="DN85" s="13" t="str">
        <f t="shared" si="102"/>
        <v/>
      </c>
      <c r="DO85" s="13" t="str">
        <f t="shared" si="102"/>
        <v/>
      </c>
      <c r="DP85" s="13" t="str">
        <f t="shared" si="102"/>
        <v/>
      </c>
      <c r="DQ85" s="13" t="str">
        <f t="shared" si="102"/>
        <v/>
      </c>
      <c r="DR85" s="13" t="str">
        <f t="shared" si="102"/>
        <v/>
      </c>
      <c r="DS85" s="13" t="str">
        <f t="shared" si="102"/>
        <v/>
      </c>
      <c r="DT85" s="13" t="str">
        <f t="shared" si="102"/>
        <v/>
      </c>
      <c r="DU85" s="13" t="str">
        <f t="shared" si="102"/>
        <v/>
      </c>
      <c r="DV85" s="13" t="str">
        <f t="shared" si="102"/>
        <v/>
      </c>
      <c r="DW85" s="13" t="str">
        <f t="shared" si="103"/>
        <v/>
      </c>
      <c r="DX85" s="13" t="str">
        <f t="shared" si="103"/>
        <v/>
      </c>
      <c r="DY85" s="13" t="str">
        <f t="shared" si="103"/>
        <v/>
      </c>
      <c r="DZ85" s="13" t="str">
        <f t="shared" si="103"/>
        <v/>
      </c>
      <c r="EA85" s="13" t="str">
        <f t="shared" si="103"/>
        <v/>
      </c>
      <c r="EB85" s="13" t="str">
        <f t="shared" si="103"/>
        <v/>
      </c>
      <c r="EC85" s="13" t="str">
        <f t="shared" si="103"/>
        <v/>
      </c>
      <c r="ED85" s="13" t="str">
        <f t="shared" si="103"/>
        <v/>
      </c>
      <c r="EE85" s="13" t="str">
        <f t="shared" si="103"/>
        <v/>
      </c>
      <c r="EF85" s="13" t="str">
        <f t="shared" si="103"/>
        <v/>
      </c>
      <c r="EG85" s="13" t="str">
        <f t="shared" si="103"/>
        <v/>
      </c>
      <c r="EH85" s="13" t="str">
        <f t="shared" si="103"/>
        <v/>
      </c>
    </row>
    <row r="86" spans="1:138" ht="13.5" customHeight="1">
      <c r="A86" s="55" t="s">
        <v>166</v>
      </c>
      <c r="B86" s="56" t="s">
        <v>167</v>
      </c>
      <c r="C86" s="57" t="s">
        <v>86</v>
      </c>
      <c r="D86" s="9" t="s">
        <v>79</v>
      </c>
      <c r="E86" s="10">
        <v>46335</v>
      </c>
      <c r="F86" s="10">
        <v>46354</v>
      </c>
      <c r="G86" s="11" t="str">
        <f t="shared" si="91"/>
        <v/>
      </c>
      <c r="H86" s="11" t="str">
        <f t="shared" si="91"/>
        <v/>
      </c>
      <c r="I86" s="11" t="str">
        <f t="shared" si="91"/>
        <v/>
      </c>
      <c r="J86" s="11" t="str">
        <f t="shared" si="91"/>
        <v/>
      </c>
      <c r="K86" s="11" t="str">
        <f t="shared" si="91"/>
        <v/>
      </c>
      <c r="L86" s="11" t="str">
        <f t="shared" si="91"/>
        <v/>
      </c>
      <c r="M86" s="11" t="str">
        <f t="shared" si="91"/>
        <v/>
      </c>
      <c r="N86" s="11" t="str">
        <f t="shared" si="91"/>
        <v/>
      </c>
      <c r="O86" s="11" t="str">
        <f t="shared" si="91"/>
        <v/>
      </c>
      <c r="P86" s="11" t="str">
        <f t="shared" si="91"/>
        <v/>
      </c>
      <c r="Q86" s="11" t="str">
        <f t="shared" si="92"/>
        <v/>
      </c>
      <c r="R86" s="11" t="str">
        <f t="shared" si="92"/>
        <v/>
      </c>
      <c r="S86" s="11" t="str">
        <f t="shared" si="92"/>
        <v/>
      </c>
      <c r="T86" s="11" t="str">
        <f t="shared" si="92"/>
        <v/>
      </c>
      <c r="U86" s="11" t="str">
        <f t="shared" si="92"/>
        <v/>
      </c>
      <c r="V86" s="11" t="str">
        <f t="shared" si="92"/>
        <v/>
      </c>
      <c r="W86" s="11" t="str">
        <f t="shared" si="92"/>
        <v/>
      </c>
      <c r="X86" s="11" t="str">
        <f t="shared" si="92"/>
        <v/>
      </c>
      <c r="Y86" s="11" t="str">
        <f t="shared" si="92"/>
        <v/>
      </c>
      <c r="Z86" s="11" t="str">
        <f t="shared" si="92"/>
        <v/>
      </c>
      <c r="AA86" s="11" t="str">
        <f t="shared" si="93"/>
        <v/>
      </c>
      <c r="AB86" s="11" t="str">
        <f t="shared" si="93"/>
        <v/>
      </c>
      <c r="AC86" s="11" t="str">
        <f t="shared" si="93"/>
        <v/>
      </c>
      <c r="AD86" s="11" t="str">
        <f t="shared" si="93"/>
        <v/>
      </c>
      <c r="AE86" s="11" t="str">
        <f t="shared" si="93"/>
        <v/>
      </c>
      <c r="AF86" s="11" t="str">
        <f t="shared" si="93"/>
        <v/>
      </c>
      <c r="AG86" s="11" t="str">
        <f t="shared" si="93"/>
        <v/>
      </c>
      <c r="AH86" s="11" t="str">
        <f t="shared" si="93"/>
        <v/>
      </c>
      <c r="AI86" s="11" t="str">
        <f t="shared" si="93"/>
        <v/>
      </c>
      <c r="AJ86" s="11" t="str">
        <f t="shared" si="93"/>
        <v/>
      </c>
      <c r="AK86" s="11" t="str">
        <f t="shared" si="94"/>
        <v/>
      </c>
      <c r="AL86" s="11" t="str">
        <f t="shared" si="94"/>
        <v/>
      </c>
      <c r="AM86" s="11" t="str">
        <f t="shared" si="94"/>
        <v/>
      </c>
      <c r="AN86" s="11" t="str">
        <f t="shared" si="94"/>
        <v/>
      </c>
      <c r="AO86" s="11" t="str">
        <f t="shared" si="94"/>
        <v/>
      </c>
      <c r="AP86" s="11" t="str">
        <f t="shared" si="94"/>
        <v/>
      </c>
      <c r="AQ86" s="11" t="str">
        <f t="shared" si="94"/>
        <v/>
      </c>
      <c r="AR86" s="11" t="str">
        <f t="shared" si="94"/>
        <v/>
      </c>
      <c r="AS86" s="11" t="str">
        <f t="shared" si="94"/>
        <v/>
      </c>
      <c r="AT86" s="11" t="str">
        <f t="shared" si="94"/>
        <v/>
      </c>
      <c r="AU86" s="11" t="str">
        <f t="shared" si="95"/>
        <v/>
      </c>
      <c r="AV86" s="11" t="str">
        <f t="shared" si="95"/>
        <v/>
      </c>
      <c r="AW86" s="11" t="str">
        <f t="shared" si="95"/>
        <v/>
      </c>
      <c r="AX86" s="11" t="str">
        <f t="shared" si="95"/>
        <v/>
      </c>
      <c r="AY86" s="11" t="str">
        <f t="shared" si="95"/>
        <v/>
      </c>
      <c r="AZ86" s="11" t="str">
        <f t="shared" si="95"/>
        <v/>
      </c>
      <c r="BA86" s="11" t="str">
        <f t="shared" si="95"/>
        <v/>
      </c>
      <c r="BB86" s="11" t="str">
        <f t="shared" si="95"/>
        <v/>
      </c>
      <c r="BC86" s="11" t="str">
        <f t="shared" si="95"/>
        <v/>
      </c>
      <c r="BD86" s="11" t="str">
        <f t="shared" si="95"/>
        <v/>
      </c>
      <c r="BE86" s="11" t="str">
        <f t="shared" si="96"/>
        <v/>
      </c>
      <c r="BF86" s="11" t="str">
        <f t="shared" si="96"/>
        <v/>
      </c>
      <c r="BG86" s="11" t="str">
        <f t="shared" si="96"/>
        <v/>
      </c>
      <c r="BH86" s="11" t="str">
        <f t="shared" si="96"/>
        <v/>
      </c>
      <c r="BI86" s="11" t="str">
        <f t="shared" si="96"/>
        <v/>
      </c>
      <c r="BJ86" s="11" t="str">
        <f t="shared" si="96"/>
        <v/>
      </c>
      <c r="BK86" s="11" t="str">
        <f t="shared" si="96"/>
        <v/>
      </c>
      <c r="BL86" s="11" t="str">
        <f t="shared" si="96"/>
        <v/>
      </c>
      <c r="BM86" s="11" t="str">
        <f t="shared" si="96"/>
        <v/>
      </c>
      <c r="BN86" s="11" t="str">
        <f t="shared" si="96"/>
        <v/>
      </c>
      <c r="BO86" s="11" t="str">
        <f t="shared" si="97"/>
        <v/>
      </c>
      <c r="BP86" s="11" t="str">
        <f t="shared" si="97"/>
        <v/>
      </c>
      <c r="BQ86" s="11" t="str">
        <f t="shared" si="97"/>
        <v/>
      </c>
      <c r="BR86" s="11" t="str">
        <f t="shared" si="97"/>
        <v/>
      </c>
      <c r="BS86" s="11" t="str">
        <f t="shared" si="97"/>
        <v/>
      </c>
      <c r="BT86" s="11" t="str">
        <f t="shared" si="97"/>
        <v/>
      </c>
      <c r="BU86" s="11" t="str">
        <f t="shared" si="97"/>
        <v/>
      </c>
      <c r="BV86" s="11" t="str">
        <f t="shared" si="97"/>
        <v/>
      </c>
      <c r="BW86" s="11" t="str">
        <f t="shared" si="97"/>
        <v/>
      </c>
      <c r="BX86" s="11" t="str">
        <f t="shared" si="97"/>
        <v/>
      </c>
      <c r="BY86" s="11" t="str">
        <f t="shared" si="98"/>
        <v/>
      </c>
      <c r="BZ86" s="11" t="str">
        <f t="shared" si="98"/>
        <v/>
      </c>
      <c r="CA86" s="11" t="str">
        <f t="shared" si="98"/>
        <v/>
      </c>
      <c r="CB86" s="11" t="str">
        <f t="shared" si="98"/>
        <v/>
      </c>
      <c r="CC86" s="11" t="str">
        <f t="shared" si="98"/>
        <v/>
      </c>
      <c r="CD86" s="11" t="str">
        <f t="shared" si="98"/>
        <v/>
      </c>
      <c r="CE86" s="11" t="str">
        <f t="shared" si="98"/>
        <v/>
      </c>
      <c r="CF86" s="11" t="str">
        <f t="shared" si="98"/>
        <v/>
      </c>
      <c r="CG86" s="11" t="str">
        <f t="shared" si="98"/>
        <v/>
      </c>
      <c r="CH86" s="11" t="str">
        <f t="shared" si="98"/>
        <v/>
      </c>
      <c r="CI86" s="11" t="str">
        <f t="shared" si="99"/>
        <v/>
      </c>
      <c r="CJ86" s="11" t="str">
        <f t="shared" si="99"/>
        <v/>
      </c>
      <c r="CK86" s="11" t="str">
        <f t="shared" si="99"/>
        <v/>
      </c>
      <c r="CL86" s="11" t="str">
        <f t="shared" si="99"/>
        <v/>
      </c>
      <c r="CM86" s="11" t="str">
        <f t="shared" si="99"/>
        <v/>
      </c>
      <c r="CN86" s="11" t="str">
        <f t="shared" si="99"/>
        <v/>
      </c>
      <c r="CO86" s="11" t="str">
        <f t="shared" si="99"/>
        <v/>
      </c>
      <c r="CP86" s="11" t="str">
        <f t="shared" si="99"/>
        <v/>
      </c>
      <c r="CQ86" s="11" t="str">
        <f t="shared" si="99"/>
        <v/>
      </c>
      <c r="CR86" s="11" t="str">
        <f t="shared" si="99"/>
        <v/>
      </c>
      <c r="CS86" s="11" t="str">
        <f t="shared" si="100"/>
        <v/>
      </c>
      <c r="CT86" s="11" t="str">
        <f t="shared" si="100"/>
        <v/>
      </c>
      <c r="CU86" s="11" t="str">
        <f t="shared" si="100"/>
        <v/>
      </c>
      <c r="CV86" s="11" t="str">
        <f t="shared" si="100"/>
        <v/>
      </c>
      <c r="CW86" s="11" t="str">
        <f t="shared" si="100"/>
        <v/>
      </c>
      <c r="CX86" s="11" t="str">
        <f t="shared" si="100"/>
        <v/>
      </c>
      <c r="CY86" s="11" t="str">
        <f t="shared" si="100"/>
        <v/>
      </c>
      <c r="CZ86" s="11" t="str">
        <f t="shared" si="100"/>
        <v/>
      </c>
      <c r="DA86" s="11" t="str">
        <f t="shared" si="100"/>
        <v/>
      </c>
      <c r="DB86" s="11" t="str">
        <f t="shared" si="100"/>
        <v/>
      </c>
      <c r="DC86" s="11" t="str">
        <f t="shared" si="101"/>
        <v>▪</v>
      </c>
      <c r="DD86" s="11" t="str">
        <f t="shared" si="101"/>
        <v>▪</v>
      </c>
      <c r="DE86" s="11" t="str">
        <f t="shared" si="101"/>
        <v>▪</v>
      </c>
      <c r="DF86" s="11" t="str">
        <f t="shared" si="101"/>
        <v>▪</v>
      </c>
      <c r="DG86" s="11" t="str">
        <f t="shared" si="101"/>
        <v>▪</v>
      </c>
      <c r="DH86" s="11" t="str">
        <f t="shared" si="101"/>
        <v>▪</v>
      </c>
      <c r="DI86" s="11" t="str">
        <f t="shared" si="101"/>
        <v>▪</v>
      </c>
      <c r="DJ86" s="11" t="str">
        <f t="shared" si="101"/>
        <v>▪</v>
      </c>
      <c r="DK86" s="11" t="str">
        <f t="shared" si="101"/>
        <v>▪</v>
      </c>
      <c r="DL86" s="11" t="str">
        <f t="shared" si="101"/>
        <v>▪</v>
      </c>
      <c r="DM86" s="11" t="str">
        <f t="shared" si="102"/>
        <v>▪</v>
      </c>
      <c r="DN86" s="11" t="str">
        <f t="shared" si="102"/>
        <v>▪</v>
      </c>
      <c r="DO86" s="11" t="str">
        <f t="shared" si="102"/>
        <v>▪</v>
      </c>
      <c r="DP86" s="11" t="str">
        <f t="shared" si="102"/>
        <v>▪</v>
      </c>
      <c r="DQ86" s="11" t="str">
        <f t="shared" si="102"/>
        <v>▪</v>
      </c>
      <c r="DR86" s="11" t="str">
        <f t="shared" si="102"/>
        <v>▪</v>
      </c>
      <c r="DS86" s="11" t="str">
        <f t="shared" si="102"/>
        <v>▪</v>
      </c>
      <c r="DT86" s="11" t="str">
        <f t="shared" si="102"/>
        <v>▪</v>
      </c>
      <c r="DU86" s="11" t="str">
        <f t="shared" si="102"/>
        <v>▪</v>
      </c>
      <c r="DV86" s="11" t="str">
        <f t="shared" si="102"/>
        <v>▪</v>
      </c>
      <c r="DW86" s="11" t="str">
        <f t="shared" si="103"/>
        <v/>
      </c>
      <c r="DX86" s="11" t="str">
        <f t="shared" si="103"/>
        <v/>
      </c>
      <c r="DY86" s="11" t="str">
        <f t="shared" si="103"/>
        <v/>
      </c>
      <c r="DZ86" s="11" t="str">
        <f t="shared" si="103"/>
        <v/>
      </c>
      <c r="EA86" s="11" t="str">
        <f t="shared" si="103"/>
        <v/>
      </c>
      <c r="EB86" s="11" t="str">
        <f t="shared" si="103"/>
        <v/>
      </c>
      <c r="EC86" s="11" t="str">
        <f t="shared" si="103"/>
        <v/>
      </c>
      <c r="ED86" s="11" t="str">
        <f t="shared" si="103"/>
        <v/>
      </c>
      <c r="EE86" s="11" t="str">
        <f t="shared" si="103"/>
        <v/>
      </c>
      <c r="EF86" s="11" t="str">
        <f t="shared" si="103"/>
        <v/>
      </c>
      <c r="EG86" s="11" t="str">
        <f t="shared" si="103"/>
        <v/>
      </c>
      <c r="EH86" s="11" t="str">
        <f t="shared" si="103"/>
        <v/>
      </c>
    </row>
    <row r="87" spans="1:138" ht="13.5" customHeight="1">
      <c r="A87" s="55"/>
      <c r="B87" s="55"/>
      <c r="C87" s="55"/>
      <c r="D87" s="12" t="s">
        <v>80</v>
      </c>
      <c r="E87" s="10"/>
      <c r="F87" s="10"/>
      <c r="G87" s="13" t="str">
        <f t="shared" si="91"/>
        <v/>
      </c>
      <c r="H87" s="13" t="str">
        <f t="shared" si="91"/>
        <v/>
      </c>
      <c r="I87" s="13" t="str">
        <f t="shared" si="91"/>
        <v/>
      </c>
      <c r="J87" s="13" t="str">
        <f t="shared" si="91"/>
        <v/>
      </c>
      <c r="K87" s="13" t="str">
        <f t="shared" si="91"/>
        <v/>
      </c>
      <c r="L87" s="13" t="str">
        <f t="shared" si="91"/>
        <v/>
      </c>
      <c r="M87" s="13" t="str">
        <f t="shared" si="91"/>
        <v/>
      </c>
      <c r="N87" s="13" t="str">
        <f t="shared" si="91"/>
        <v/>
      </c>
      <c r="O87" s="13" t="str">
        <f t="shared" si="91"/>
        <v/>
      </c>
      <c r="P87" s="13" t="str">
        <f t="shared" si="91"/>
        <v/>
      </c>
      <c r="Q87" s="13" t="str">
        <f t="shared" si="92"/>
        <v/>
      </c>
      <c r="R87" s="13" t="str">
        <f t="shared" si="92"/>
        <v/>
      </c>
      <c r="S87" s="13" t="str">
        <f t="shared" si="92"/>
        <v/>
      </c>
      <c r="T87" s="13" t="str">
        <f t="shared" si="92"/>
        <v/>
      </c>
      <c r="U87" s="13" t="str">
        <f t="shared" si="92"/>
        <v/>
      </c>
      <c r="V87" s="13" t="str">
        <f t="shared" si="92"/>
        <v/>
      </c>
      <c r="W87" s="13" t="str">
        <f t="shared" si="92"/>
        <v/>
      </c>
      <c r="X87" s="13" t="str">
        <f t="shared" si="92"/>
        <v/>
      </c>
      <c r="Y87" s="13" t="str">
        <f t="shared" si="92"/>
        <v/>
      </c>
      <c r="Z87" s="13" t="str">
        <f t="shared" si="92"/>
        <v/>
      </c>
      <c r="AA87" s="13" t="str">
        <f t="shared" si="93"/>
        <v/>
      </c>
      <c r="AB87" s="13" t="str">
        <f t="shared" si="93"/>
        <v/>
      </c>
      <c r="AC87" s="13" t="str">
        <f t="shared" si="93"/>
        <v/>
      </c>
      <c r="AD87" s="13" t="str">
        <f t="shared" si="93"/>
        <v/>
      </c>
      <c r="AE87" s="13" t="str">
        <f t="shared" si="93"/>
        <v/>
      </c>
      <c r="AF87" s="13" t="str">
        <f t="shared" si="93"/>
        <v/>
      </c>
      <c r="AG87" s="13" t="str">
        <f t="shared" si="93"/>
        <v/>
      </c>
      <c r="AH87" s="13" t="str">
        <f t="shared" si="93"/>
        <v/>
      </c>
      <c r="AI87" s="13" t="str">
        <f t="shared" si="93"/>
        <v/>
      </c>
      <c r="AJ87" s="13" t="str">
        <f t="shared" si="93"/>
        <v/>
      </c>
      <c r="AK87" s="13" t="str">
        <f t="shared" si="94"/>
        <v/>
      </c>
      <c r="AL87" s="13" t="str">
        <f t="shared" si="94"/>
        <v/>
      </c>
      <c r="AM87" s="13" t="str">
        <f t="shared" si="94"/>
        <v/>
      </c>
      <c r="AN87" s="13" t="str">
        <f t="shared" si="94"/>
        <v/>
      </c>
      <c r="AO87" s="13" t="str">
        <f t="shared" si="94"/>
        <v/>
      </c>
      <c r="AP87" s="13" t="str">
        <f t="shared" si="94"/>
        <v/>
      </c>
      <c r="AQ87" s="13" t="str">
        <f t="shared" si="94"/>
        <v/>
      </c>
      <c r="AR87" s="13" t="str">
        <f t="shared" si="94"/>
        <v/>
      </c>
      <c r="AS87" s="13" t="str">
        <f t="shared" si="94"/>
        <v/>
      </c>
      <c r="AT87" s="13" t="str">
        <f t="shared" si="94"/>
        <v/>
      </c>
      <c r="AU87" s="13" t="str">
        <f t="shared" si="95"/>
        <v/>
      </c>
      <c r="AV87" s="13" t="str">
        <f t="shared" si="95"/>
        <v/>
      </c>
      <c r="AW87" s="13" t="str">
        <f t="shared" si="95"/>
        <v/>
      </c>
      <c r="AX87" s="13" t="str">
        <f t="shared" si="95"/>
        <v/>
      </c>
      <c r="AY87" s="13" t="str">
        <f t="shared" si="95"/>
        <v/>
      </c>
      <c r="AZ87" s="13" t="str">
        <f t="shared" si="95"/>
        <v/>
      </c>
      <c r="BA87" s="13" t="str">
        <f t="shared" si="95"/>
        <v/>
      </c>
      <c r="BB87" s="13" t="str">
        <f t="shared" si="95"/>
        <v/>
      </c>
      <c r="BC87" s="13" t="str">
        <f t="shared" si="95"/>
        <v/>
      </c>
      <c r="BD87" s="13" t="str">
        <f t="shared" si="95"/>
        <v/>
      </c>
      <c r="BE87" s="13" t="str">
        <f t="shared" si="96"/>
        <v/>
      </c>
      <c r="BF87" s="13" t="str">
        <f t="shared" si="96"/>
        <v/>
      </c>
      <c r="BG87" s="13" t="str">
        <f t="shared" si="96"/>
        <v/>
      </c>
      <c r="BH87" s="13" t="str">
        <f t="shared" si="96"/>
        <v/>
      </c>
      <c r="BI87" s="13" t="str">
        <f t="shared" si="96"/>
        <v/>
      </c>
      <c r="BJ87" s="13" t="str">
        <f t="shared" si="96"/>
        <v/>
      </c>
      <c r="BK87" s="13" t="str">
        <f t="shared" si="96"/>
        <v/>
      </c>
      <c r="BL87" s="13" t="str">
        <f t="shared" si="96"/>
        <v/>
      </c>
      <c r="BM87" s="13" t="str">
        <f t="shared" si="96"/>
        <v/>
      </c>
      <c r="BN87" s="13" t="str">
        <f t="shared" si="96"/>
        <v/>
      </c>
      <c r="BO87" s="13" t="str">
        <f t="shared" si="97"/>
        <v/>
      </c>
      <c r="BP87" s="13" t="str">
        <f t="shared" si="97"/>
        <v/>
      </c>
      <c r="BQ87" s="13" t="str">
        <f t="shared" si="97"/>
        <v/>
      </c>
      <c r="BR87" s="13" t="str">
        <f t="shared" si="97"/>
        <v/>
      </c>
      <c r="BS87" s="13" t="str">
        <f t="shared" si="97"/>
        <v/>
      </c>
      <c r="BT87" s="13" t="str">
        <f t="shared" si="97"/>
        <v/>
      </c>
      <c r="BU87" s="13" t="str">
        <f t="shared" si="97"/>
        <v/>
      </c>
      <c r="BV87" s="13" t="str">
        <f t="shared" si="97"/>
        <v/>
      </c>
      <c r="BW87" s="13" t="str">
        <f t="shared" si="97"/>
        <v/>
      </c>
      <c r="BX87" s="13" t="str">
        <f t="shared" si="97"/>
        <v/>
      </c>
      <c r="BY87" s="13" t="str">
        <f t="shared" si="98"/>
        <v/>
      </c>
      <c r="BZ87" s="13" t="str">
        <f t="shared" si="98"/>
        <v/>
      </c>
      <c r="CA87" s="13" t="str">
        <f t="shared" si="98"/>
        <v/>
      </c>
      <c r="CB87" s="13" t="str">
        <f t="shared" si="98"/>
        <v/>
      </c>
      <c r="CC87" s="13" t="str">
        <f t="shared" si="98"/>
        <v/>
      </c>
      <c r="CD87" s="13" t="str">
        <f t="shared" si="98"/>
        <v/>
      </c>
      <c r="CE87" s="13" t="str">
        <f t="shared" si="98"/>
        <v/>
      </c>
      <c r="CF87" s="13" t="str">
        <f t="shared" si="98"/>
        <v/>
      </c>
      <c r="CG87" s="13" t="str">
        <f t="shared" si="98"/>
        <v/>
      </c>
      <c r="CH87" s="13" t="str">
        <f t="shared" si="98"/>
        <v/>
      </c>
      <c r="CI87" s="13" t="str">
        <f t="shared" si="99"/>
        <v/>
      </c>
      <c r="CJ87" s="13" t="str">
        <f t="shared" si="99"/>
        <v/>
      </c>
      <c r="CK87" s="13" t="str">
        <f t="shared" si="99"/>
        <v/>
      </c>
      <c r="CL87" s="13" t="str">
        <f t="shared" si="99"/>
        <v/>
      </c>
      <c r="CM87" s="13" t="str">
        <f t="shared" si="99"/>
        <v/>
      </c>
      <c r="CN87" s="13" t="str">
        <f t="shared" si="99"/>
        <v/>
      </c>
      <c r="CO87" s="13" t="str">
        <f t="shared" si="99"/>
        <v/>
      </c>
      <c r="CP87" s="13" t="str">
        <f t="shared" si="99"/>
        <v/>
      </c>
      <c r="CQ87" s="13" t="str">
        <f t="shared" si="99"/>
        <v/>
      </c>
      <c r="CR87" s="13" t="str">
        <f t="shared" si="99"/>
        <v/>
      </c>
      <c r="CS87" s="13" t="str">
        <f t="shared" si="100"/>
        <v/>
      </c>
      <c r="CT87" s="13" t="str">
        <f t="shared" si="100"/>
        <v/>
      </c>
      <c r="CU87" s="13" t="str">
        <f t="shared" si="100"/>
        <v/>
      </c>
      <c r="CV87" s="13" t="str">
        <f t="shared" si="100"/>
        <v/>
      </c>
      <c r="CW87" s="13" t="str">
        <f t="shared" si="100"/>
        <v/>
      </c>
      <c r="CX87" s="13" t="str">
        <f t="shared" si="100"/>
        <v/>
      </c>
      <c r="CY87" s="13" t="str">
        <f t="shared" si="100"/>
        <v/>
      </c>
      <c r="CZ87" s="13" t="str">
        <f t="shared" si="100"/>
        <v/>
      </c>
      <c r="DA87" s="13" t="str">
        <f t="shared" si="100"/>
        <v/>
      </c>
      <c r="DB87" s="13" t="str">
        <f t="shared" si="100"/>
        <v/>
      </c>
      <c r="DC87" s="13" t="str">
        <f t="shared" si="101"/>
        <v/>
      </c>
      <c r="DD87" s="13" t="str">
        <f t="shared" si="101"/>
        <v/>
      </c>
      <c r="DE87" s="13" t="str">
        <f t="shared" si="101"/>
        <v/>
      </c>
      <c r="DF87" s="13" t="str">
        <f t="shared" si="101"/>
        <v/>
      </c>
      <c r="DG87" s="13" t="str">
        <f t="shared" si="101"/>
        <v/>
      </c>
      <c r="DH87" s="13" t="str">
        <f t="shared" si="101"/>
        <v/>
      </c>
      <c r="DI87" s="13" t="str">
        <f t="shared" si="101"/>
        <v/>
      </c>
      <c r="DJ87" s="13" t="str">
        <f t="shared" si="101"/>
        <v/>
      </c>
      <c r="DK87" s="13" t="str">
        <f t="shared" si="101"/>
        <v/>
      </c>
      <c r="DL87" s="13" t="str">
        <f t="shared" si="101"/>
        <v/>
      </c>
      <c r="DM87" s="13" t="str">
        <f t="shared" si="102"/>
        <v/>
      </c>
      <c r="DN87" s="13" t="str">
        <f t="shared" si="102"/>
        <v/>
      </c>
      <c r="DO87" s="13" t="str">
        <f t="shared" si="102"/>
        <v/>
      </c>
      <c r="DP87" s="13" t="str">
        <f t="shared" si="102"/>
        <v/>
      </c>
      <c r="DQ87" s="13" t="str">
        <f t="shared" si="102"/>
        <v/>
      </c>
      <c r="DR87" s="13" t="str">
        <f t="shared" si="102"/>
        <v/>
      </c>
      <c r="DS87" s="13" t="str">
        <f t="shared" si="102"/>
        <v/>
      </c>
      <c r="DT87" s="13" t="str">
        <f t="shared" si="102"/>
        <v/>
      </c>
      <c r="DU87" s="13" t="str">
        <f t="shared" si="102"/>
        <v/>
      </c>
      <c r="DV87" s="13" t="str">
        <f t="shared" si="102"/>
        <v/>
      </c>
      <c r="DW87" s="13" t="str">
        <f t="shared" si="103"/>
        <v/>
      </c>
      <c r="DX87" s="13" t="str">
        <f t="shared" si="103"/>
        <v/>
      </c>
      <c r="DY87" s="13" t="str">
        <f t="shared" si="103"/>
        <v/>
      </c>
      <c r="DZ87" s="13" t="str">
        <f t="shared" si="103"/>
        <v/>
      </c>
      <c r="EA87" s="13" t="str">
        <f t="shared" si="103"/>
        <v/>
      </c>
      <c r="EB87" s="13" t="str">
        <f t="shared" si="103"/>
        <v/>
      </c>
      <c r="EC87" s="13" t="str">
        <f t="shared" si="103"/>
        <v/>
      </c>
      <c r="ED87" s="13" t="str">
        <f t="shared" si="103"/>
        <v/>
      </c>
      <c r="EE87" s="13" t="str">
        <f t="shared" si="103"/>
        <v/>
      </c>
      <c r="EF87" s="13" t="str">
        <f t="shared" si="103"/>
        <v/>
      </c>
      <c r="EG87" s="13" t="str">
        <f t="shared" si="103"/>
        <v/>
      </c>
      <c r="EH87" s="13" t="str">
        <f t="shared" si="103"/>
        <v/>
      </c>
    </row>
    <row r="88" spans="1:138" ht="13.5" customHeight="1">
      <c r="A88" s="55" t="s">
        <v>168</v>
      </c>
      <c r="B88" s="56" t="s">
        <v>169</v>
      </c>
      <c r="C88" s="57" t="s">
        <v>86</v>
      </c>
      <c r="D88" s="9" t="s">
        <v>79</v>
      </c>
      <c r="E88" s="10">
        <v>46335</v>
      </c>
      <c r="F88" s="10">
        <v>46354</v>
      </c>
      <c r="G88" s="11" t="str">
        <f t="shared" si="91"/>
        <v/>
      </c>
      <c r="H88" s="11" t="str">
        <f t="shared" si="91"/>
        <v/>
      </c>
      <c r="I88" s="11" t="str">
        <f t="shared" si="91"/>
        <v/>
      </c>
      <c r="J88" s="11" t="str">
        <f t="shared" si="91"/>
        <v/>
      </c>
      <c r="K88" s="11" t="str">
        <f t="shared" si="91"/>
        <v/>
      </c>
      <c r="L88" s="11" t="str">
        <f t="shared" si="91"/>
        <v/>
      </c>
      <c r="M88" s="11" t="str">
        <f t="shared" si="91"/>
        <v/>
      </c>
      <c r="N88" s="11" t="str">
        <f t="shared" si="91"/>
        <v/>
      </c>
      <c r="O88" s="11" t="str">
        <f t="shared" si="91"/>
        <v/>
      </c>
      <c r="P88" s="11" t="str">
        <f t="shared" si="91"/>
        <v/>
      </c>
      <c r="Q88" s="11" t="str">
        <f t="shared" si="92"/>
        <v/>
      </c>
      <c r="R88" s="11" t="str">
        <f t="shared" si="92"/>
        <v/>
      </c>
      <c r="S88" s="11" t="str">
        <f t="shared" si="92"/>
        <v/>
      </c>
      <c r="T88" s="11" t="str">
        <f t="shared" si="92"/>
        <v/>
      </c>
      <c r="U88" s="11" t="str">
        <f t="shared" si="92"/>
        <v/>
      </c>
      <c r="V88" s="11" t="str">
        <f t="shared" si="92"/>
        <v/>
      </c>
      <c r="W88" s="11" t="str">
        <f t="shared" si="92"/>
        <v/>
      </c>
      <c r="X88" s="11" t="str">
        <f t="shared" si="92"/>
        <v/>
      </c>
      <c r="Y88" s="11" t="str">
        <f t="shared" si="92"/>
        <v/>
      </c>
      <c r="Z88" s="11" t="str">
        <f t="shared" si="92"/>
        <v/>
      </c>
      <c r="AA88" s="11" t="str">
        <f t="shared" si="93"/>
        <v/>
      </c>
      <c r="AB88" s="11" t="str">
        <f t="shared" si="93"/>
        <v/>
      </c>
      <c r="AC88" s="11" t="str">
        <f t="shared" si="93"/>
        <v/>
      </c>
      <c r="AD88" s="11" t="str">
        <f t="shared" si="93"/>
        <v/>
      </c>
      <c r="AE88" s="11" t="str">
        <f t="shared" si="93"/>
        <v/>
      </c>
      <c r="AF88" s="11" t="str">
        <f t="shared" si="93"/>
        <v/>
      </c>
      <c r="AG88" s="11" t="str">
        <f t="shared" si="93"/>
        <v/>
      </c>
      <c r="AH88" s="11" t="str">
        <f t="shared" si="93"/>
        <v/>
      </c>
      <c r="AI88" s="11" t="str">
        <f t="shared" si="93"/>
        <v/>
      </c>
      <c r="AJ88" s="11" t="str">
        <f t="shared" si="93"/>
        <v/>
      </c>
      <c r="AK88" s="11" t="str">
        <f t="shared" si="94"/>
        <v/>
      </c>
      <c r="AL88" s="11" t="str">
        <f t="shared" si="94"/>
        <v/>
      </c>
      <c r="AM88" s="11" t="str">
        <f t="shared" si="94"/>
        <v/>
      </c>
      <c r="AN88" s="11" t="str">
        <f t="shared" si="94"/>
        <v/>
      </c>
      <c r="AO88" s="11" t="str">
        <f t="shared" si="94"/>
        <v/>
      </c>
      <c r="AP88" s="11" t="str">
        <f t="shared" si="94"/>
        <v/>
      </c>
      <c r="AQ88" s="11" t="str">
        <f t="shared" si="94"/>
        <v/>
      </c>
      <c r="AR88" s="11" t="str">
        <f t="shared" si="94"/>
        <v/>
      </c>
      <c r="AS88" s="11" t="str">
        <f t="shared" si="94"/>
        <v/>
      </c>
      <c r="AT88" s="11" t="str">
        <f t="shared" si="94"/>
        <v/>
      </c>
      <c r="AU88" s="11" t="str">
        <f t="shared" si="95"/>
        <v/>
      </c>
      <c r="AV88" s="11" t="str">
        <f t="shared" si="95"/>
        <v/>
      </c>
      <c r="AW88" s="11" t="str">
        <f t="shared" si="95"/>
        <v/>
      </c>
      <c r="AX88" s="11" t="str">
        <f t="shared" si="95"/>
        <v/>
      </c>
      <c r="AY88" s="11" t="str">
        <f t="shared" si="95"/>
        <v/>
      </c>
      <c r="AZ88" s="11" t="str">
        <f t="shared" si="95"/>
        <v/>
      </c>
      <c r="BA88" s="11" t="str">
        <f t="shared" si="95"/>
        <v/>
      </c>
      <c r="BB88" s="11" t="str">
        <f t="shared" si="95"/>
        <v/>
      </c>
      <c r="BC88" s="11" t="str">
        <f t="shared" si="95"/>
        <v/>
      </c>
      <c r="BD88" s="11" t="str">
        <f t="shared" si="95"/>
        <v/>
      </c>
      <c r="BE88" s="11" t="str">
        <f t="shared" si="96"/>
        <v/>
      </c>
      <c r="BF88" s="11" t="str">
        <f t="shared" si="96"/>
        <v/>
      </c>
      <c r="BG88" s="11" t="str">
        <f t="shared" si="96"/>
        <v/>
      </c>
      <c r="BH88" s="11" t="str">
        <f t="shared" si="96"/>
        <v/>
      </c>
      <c r="BI88" s="11" t="str">
        <f t="shared" si="96"/>
        <v/>
      </c>
      <c r="BJ88" s="11" t="str">
        <f t="shared" si="96"/>
        <v/>
      </c>
      <c r="BK88" s="11" t="str">
        <f t="shared" si="96"/>
        <v/>
      </c>
      <c r="BL88" s="11" t="str">
        <f t="shared" si="96"/>
        <v/>
      </c>
      <c r="BM88" s="11" t="str">
        <f t="shared" si="96"/>
        <v/>
      </c>
      <c r="BN88" s="11" t="str">
        <f t="shared" si="96"/>
        <v/>
      </c>
      <c r="BO88" s="11" t="str">
        <f t="shared" si="97"/>
        <v/>
      </c>
      <c r="BP88" s="11" t="str">
        <f t="shared" si="97"/>
        <v/>
      </c>
      <c r="BQ88" s="11" t="str">
        <f t="shared" si="97"/>
        <v/>
      </c>
      <c r="BR88" s="11" t="str">
        <f t="shared" si="97"/>
        <v/>
      </c>
      <c r="BS88" s="11" t="str">
        <f t="shared" si="97"/>
        <v/>
      </c>
      <c r="BT88" s="11" t="str">
        <f t="shared" si="97"/>
        <v/>
      </c>
      <c r="BU88" s="11" t="str">
        <f t="shared" si="97"/>
        <v/>
      </c>
      <c r="BV88" s="11" t="str">
        <f t="shared" si="97"/>
        <v/>
      </c>
      <c r="BW88" s="11" t="str">
        <f t="shared" si="97"/>
        <v/>
      </c>
      <c r="BX88" s="11" t="str">
        <f t="shared" si="97"/>
        <v/>
      </c>
      <c r="BY88" s="11" t="str">
        <f t="shared" si="98"/>
        <v/>
      </c>
      <c r="BZ88" s="11" t="str">
        <f t="shared" si="98"/>
        <v/>
      </c>
      <c r="CA88" s="11" t="str">
        <f t="shared" si="98"/>
        <v/>
      </c>
      <c r="CB88" s="11" t="str">
        <f t="shared" si="98"/>
        <v/>
      </c>
      <c r="CC88" s="11" t="str">
        <f t="shared" si="98"/>
        <v/>
      </c>
      <c r="CD88" s="11" t="str">
        <f t="shared" si="98"/>
        <v/>
      </c>
      <c r="CE88" s="11" t="str">
        <f t="shared" si="98"/>
        <v/>
      </c>
      <c r="CF88" s="11" t="str">
        <f t="shared" si="98"/>
        <v/>
      </c>
      <c r="CG88" s="11" t="str">
        <f t="shared" si="98"/>
        <v/>
      </c>
      <c r="CH88" s="11" t="str">
        <f t="shared" si="98"/>
        <v/>
      </c>
      <c r="CI88" s="11" t="str">
        <f t="shared" si="99"/>
        <v/>
      </c>
      <c r="CJ88" s="11" t="str">
        <f t="shared" si="99"/>
        <v/>
      </c>
      <c r="CK88" s="11" t="str">
        <f t="shared" si="99"/>
        <v/>
      </c>
      <c r="CL88" s="11" t="str">
        <f t="shared" si="99"/>
        <v/>
      </c>
      <c r="CM88" s="11" t="str">
        <f t="shared" si="99"/>
        <v/>
      </c>
      <c r="CN88" s="11" t="str">
        <f t="shared" si="99"/>
        <v/>
      </c>
      <c r="CO88" s="11" t="str">
        <f t="shared" si="99"/>
        <v/>
      </c>
      <c r="CP88" s="11" t="str">
        <f t="shared" si="99"/>
        <v/>
      </c>
      <c r="CQ88" s="11" t="str">
        <f t="shared" si="99"/>
        <v/>
      </c>
      <c r="CR88" s="11" t="str">
        <f t="shared" si="99"/>
        <v/>
      </c>
      <c r="CS88" s="11" t="str">
        <f t="shared" si="100"/>
        <v/>
      </c>
      <c r="CT88" s="11" t="str">
        <f t="shared" si="100"/>
        <v/>
      </c>
      <c r="CU88" s="11" t="str">
        <f t="shared" si="100"/>
        <v/>
      </c>
      <c r="CV88" s="11" t="str">
        <f t="shared" si="100"/>
        <v/>
      </c>
      <c r="CW88" s="11" t="str">
        <f t="shared" si="100"/>
        <v/>
      </c>
      <c r="CX88" s="11" t="str">
        <f t="shared" si="100"/>
        <v/>
      </c>
      <c r="CY88" s="11" t="str">
        <f t="shared" si="100"/>
        <v/>
      </c>
      <c r="CZ88" s="11" t="str">
        <f t="shared" si="100"/>
        <v/>
      </c>
      <c r="DA88" s="11" t="str">
        <f t="shared" si="100"/>
        <v/>
      </c>
      <c r="DB88" s="11" t="str">
        <f t="shared" si="100"/>
        <v/>
      </c>
      <c r="DC88" s="11" t="str">
        <f t="shared" si="101"/>
        <v>▪</v>
      </c>
      <c r="DD88" s="11" t="str">
        <f t="shared" si="101"/>
        <v>▪</v>
      </c>
      <c r="DE88" s="11" t="str">
        <f t="shared" si="101"/>
        <v>▪</v>
      </c>
      <c r="DF88" s="11" t="str">
        <f t="shared" si="101"/>
        <v>▪</v>
      </c>
      <c r="DG88" s="11" t="str">
        <f t="shared" si="101"/>
        <v>▪</v>
      </c>
      <c r="DH88" s="11" t="str">
        <f t="shared" si="101"/>
        <v>▪</v>
      </c>
      <c r="DI88" s="11" t="str">
        <f t="shared" si="101"/>
        <v>▪</v>
      </c>
      <c r="DJ88" s="11" t="str">
        <f t="shared" si="101"/>
        <v>▪</v>
      </c>
      <c r="DK88" s="11" t="str">
        <f t="shared" si="101"/>
        <v>▪</v>
      </c>
      <c r="DL88" s="11" t="str">
        <f t="shared" si="101"/>
        <v>▪</v>
      </c>
      <c r="DM88" s="11" t="str">
        <f t="shared" si="102"/>
        <v>▪</v>
      </c>
      <c r="DN88" s="11" t="str">
        <f t="shared" si="102"/>
        <v>▪</v>
      </c>
      <c r="DO88" s="11" t="str">
        <f t="shared" si="102"/>
        <v>▪</v>
      </c>
      <c r="DP88" s="11" t="str">
        <f t="shared" si="102"/>
        <v>▪</v>
      </c>
      <c r="DQ88" s="11" t="str">
        <f t="shared" si="102"/>
        <v>▪</v>
      </c>
      <c r="DR88" s="11" t="str">
        <f t="shared" si="102"/>
        <v>▪</v>
      </c>
      <c r="DS88" s="11" t="str">
        <f t="shared" si="102"/>
        <v>▪</v>
      </c>
      <c r="DT88" s="11" t="str">
        <f t="shared" si="102"/>
        <v>▪</v>
      </c>
      <c r="DU88" s="11" t="str">
        <f t="shared" si="102"/>
        <v>▪</v>
      </c>
      <c r="DV88" s="11" t="str">
        <f t="shared" si="102"/>
        <v>▪</v>
      </c>
      <c r="DW88" s="11" t="str">
        <f t="shared" si="103"/>
        <v/>
      </c>
      <c r="DX88" s="11" t="str">
        <f t="shared" si="103"/>
        <v/>
      </c>
      <c r="DY88" s="11" t="str">
        <f t="shared" si="103"/>
        <v/>
      </c>
      <c r="DZ88" s="11" t="str">
        <f t="shared" si="103"/>
        <v/>
      </c>
      <c r="EA88" s="11" t="str">
        <f t="shared" si="103"/>
        <v/>
      </c>
      <c r="EB88" s="11" t="str">
        <f t="shared" si="103"/>
        <v/>
      </c>
      <c r="EC88" s="11" t="str">
        <f t="shared" si="103"/>
        <v/>
      </c>
      <c r="ED88" s="11" t="str">
        <f t="shared" si="103"/>
        <v/>
      </c>
      <c r="EE88" s="11" t="str">
        <f t="shared" si="103"/>
        <v/>
      </c>
      <c r="EF88" s="11" t="str">
        <f t="shared" si="103"/>
        <v/>
      </c>
      <c r="EG88" s="11" t="str">
        <f t="shared" si="103"/>
        <v/>
      </c>
      <c r="EH88" s="11" t="str">
        <f t="shared" si="103"/>
        <v/>
      </c>
    </row>
    <row r="89" spans="1:138" ht="13.5" customHeight="1">
      <c r="A89" s="55"/>
      <c r="B89" s="55"/>
      <c r="C89" s="55"/>
      <c r="D89" s="12" t="s">
        <v>80</v>
      </c>
      <c r="E89" s="10"/>
      <c r="F89" s="10"/>
      <c r="G89" s="13" t="str">
        <f t="shared" si="91"/>
        <v/>
      </c>
      <c r="H89" s="13" t="str">
        <f t="shared" si="91"/>
        <v/>
      </c>
      <c r="I89" s="13" t="str">
        <f t="shared" si="91"/>
        <v/>
      </c>
      <c r="J89" s="13" t="str">
        <f t="shared" si="91"/>
        <v/>
      </c>
      <c r="K89" s="13" t="str">
        <f t="shared" si="91"/>
        <v/>
      </c>
      <c r="L89" s="13" t="str">
        <f t="shared" si="91"/>
        <v/>
      </c>
      <c r="M89" s="13" t="str">
        <f t="shared" si="91"/>
        <v/>
      </c>
      <c r="N89" s="13" t="str">
        <f t="shared" si="91"/>
        <v/>
      </c>
      <c r="O89" s="13" t="str">
        <f t="shared" si="91"/>
        <v/>
      </c>
      <c r="P89" s="13" t="str">
        <f t="shared" si="91"/>
        <v/>
      </c>
      <c r="Q89" s="13" t="str">
        <f t="shared" si="92"/>
        <v/>
      </c>
      <c r="R89" s="13" t="str">
        <f t="shared" si="92"/>
        <v/>
      </c>
      <c r="S89" s="13" t="str">
        <f t="shared" si="92"/>
        <v/>
      </c>
      <c r="T89" s="13" t="str">
        <f t="shared" si="92"/>
        <v/>
      </c>
      <c r="U89" s="13" t="str">
        <f t="shared" si="92"/>
        <v/>
      </c>
      <c r="V89" s="13" t="str">
        <f t="shared" si="92"/>
        <v/>
      </c>
      <c r="W89" s="13" t="str">
        <f t="shared" si="92"/>
        <v/>
      </c>
      <c r="X89" s="13" t="str">
        <f t="shared" si="92"/>
        <v/>
      </c>
      <c r="Y89" s="13" t="str">
        <f t="shared" si="92"/>
        <v/>
      </c>
      <c r="Z89" s="13" t="str">
        <f t="shared" si="92"/>
        <v/>
      </c>
      <c r="AA89" s="13" t="str">
        <f t="shared" si="93"/>
        <v/>
      </c>
      <c r="AB89" s="13" t="str">
        <f t="shared" si="93"/>
        <v/>
      </c>
      <c r="AC89" s="13" t="str">
        <f t="shared" si="93"/>
        <v/>
      </c>
      <c r="AD89" s="13" t="str">
        <f t="shared" si="93"/>
        <v/>
      </c>
      <c r="AE89" s="13" t="str">
        <f t="shared" si="93"/>
        <v/>
      </c>
      <c r="AF89" s="13" t="str">
        <f t="shared" si="93"/>
        <v/>
      </c>
      <c r="AG89" s="13" t="str">
        <f t="shared" si="93"/>
        <v/>
      </c>
      <c r="AH89" s="13" t="str">
        <f t="shared" si="93"/>
        <v/>
      </c>
      <c r="AI89" s="13" t="str">
        <f t="shared" si="93"/>
        <v/>
      </c>
      <c r="AJ89" s="13" t="str">
        <f t="shared" si="93"/>
        <v/>
      </c>
      <c r="AK89" s="13" t="str">
        <f t="shared" si="94"/>
        <v/>
      </c>
      <c r="AL89" s="13" t="str">
        <f t="shared" si="94"/>
        <v/>
      </c>
      <c r="AM89" s="13" t="str">
        <f t="shared" si="94"/>
        <v/>
      </c>
      <c r="AN89" s="13" t="str">
        <f t="shared" si="94"/>
        <v/>
      </c>
      <c r="AO89" s="13" t="str">
        <f t="shared" si="94"/>
        <v/>
      </c>
      <c r="AP89" s="13" t="str">
        <f t="shared" si="94"/>
        <v/>
      </c>
      <c r="AQ89" s="13" t="str">
        <f t="shared" si="94"/>
        <v/>
      </c>
      <c r="AR89" s="13" t="str">
        <f t="shared" si="94"/>
        <v/>
      </c>
      <c r="AS89" s="13" t="str">
        <f t="shared" si="94"/>
        <v/>
      </c>
      <c r="AT89" s="13" t="str">
        <f t="shared" si="94"/>
        <v/>
      </c>
      <c r="AU89" s="13" t="str">
        <f t="shared" si="95"/>
        <v/>
      </c>
      <c r="AV89" s="13" t="str">
        <f t="shared" si="95"/>
        <v/>
      </c>
      <c r="AW89" s="13" t="str">
        <f t="shared" si="95"/>
        <v/>
      </c>
      <c r="AX89" s="13" t="str">
        <f t="shared" si="95"/>
        <v/>
      </c>
      <c r="AY89" s="13" t="str">
        <f t="shared" si="95"/>
        <v/>
      </c>
      <c r="AZ89" s="13" t="str">
        <f t="shared" si="95"/>
        <v/>
      </c>
      <c r="BA89" s="13" t="str">
        <f t="shared" si="95"/>
        <v/>
      </c>
      <c r="BB89" s="13" t="str">
        <f t="shared" si="95"/>
        <v/>
      </c>
      <c r="BC89" s="13" t="str">
        <f t="shared" si="95"/>
        <v/>
      </c>
      <c r="BD89" s="13" t="str">
        <f t="shared" si="95"/>
        <v/>
      </c>
      <c r="BE89" s="13" t="str">
        <f t="shared" si="96"/>
        <v/>
      </c>
      <c r="BF89" s="13" t="str">
        <f t="shared" si="96"/>
        <v/>
      </c>
      <c r="BG89" s="13" t="str">
        <f t="shared" si="96"/>
        <v/>
      </c>
      <c r="BH89" s="13" t="str">
        <f t="shared" si="96"/>
        <v/>
      </c>
      <c r="BI89" s="13" t="str">
        <f t="shared" si="96"/>
        <v/>
      </c>
      <c r="BJ89" s="13" t="str">
        <f t="shared" si="96"/>
        <v/>
      </c>
      <c r="BK89" s="13" t="str">
        <f t="shared" si="96"/>
        <v/>
      </c>
      <c r="BL89" s="13" t="str">
        <f t="shared" si="96"/>
        <v/>
      </c>
      <c r="BM89" s="13" t="str">
        <f t="shared" si="96"/>
        <v/>
      </c>
      <c r="BN89" s="13" t="str">
        <f t="shared" si="96"/>
        <v/>
      </c>
      <c r="BO89" s="13" t="str">
        <f t="shared" si="97"/>
        <v/>
      </c>
      <c r="BP89" s="13" t="str">
        <f t="shared" si="97"/>
        <v/>
      </c>
      <c r="BQ89" s="13" t="str">
        <f t="shared" si="97"/>
        <v/>
      </c>
      <c r="BR89" s="13" t="str">
        <f t="shared" si="97"/>
        <v/>
      </c>
      <c r="BS89" s="13" t="str">
        <f t="shared" si="97"/>
        <v/>
      </c>
      <c r="BT89" s="13" t="str">
        <f t="shared" si="97"/>
        <v/>
      </c>
      <c r="BU89" s="13" t="str">
        <f t="shared" si="97"/>
        <v/>
      </c>
      <c r="BV89" s="13" t="str">
        <f t="shared" si="97"/>
        <v/>
      </c>
      <c r="BW89" s="13" t="str">
        <f t="shared" si="97"/>
        <v/>
      </c>
      <c r="BX89" s="13" t="str">
        <f t="shared" si="97"/>
        <v/>
      </c>
      <c r="BY89" s="13" t="str">
        <f t="shared" si="98"/>
        <v/>
      </c>
      <c r="BZ89" s="13" t="str">
        <f t="shared" si="98"/>
        <v/>
      </c>
      <c r="CA89" s="13" t="str">
        <f t="shared" si="98"/>
        <v/>
      </c>
      <c r="CB89" s="13" t="str">
        <f t="shared" si="98"/>
        <v/>
      </c>
      <c r="CC89" s="13" t="str">
        <f t="shared" si="98"/>
        <v/>
      </c>
      <c r="CD89" s="13" t="str">
        <f t="shared" si="98"/>
        <v/>
      </c>
      <c r="CE89" s="13" t="str">
        <f t="shared" si="98"/>
        <v/>
      </c>
      <c r="CF89" s="13" t="str">
        <f t="shared" si="98"/>
        <v/>
      </c>
      <c r="CG89" s="13" t="str">
        <f t="shared" si="98"/>
        <v/>
      </c>
      <c r="CH89" s="13" t="str">
        <f t="shared" si="98"/>
        <v/>
      </c>
      <c r="CI89" s="13" t="str">
        <f t="shared" si="99"/>
        <v/>
      </c>
      <c r="CJ89" s="13" t="str">
        <f t="shared" si="99"/>
        <v/>
      </c>
      <c r="CK89" s="13" t="str">
        <f t="shared" si="99"/>
        <v/>
      </c>
      <c r="CL89" s="13" t="str">
        <f t="shared" si="99"/>
        <v/>
      </c>
      <c r="CM89" s="13" t="str">
        <f t="shared" si="99"/>
        <v/>
      </c>
      <c r="CN89" s="13" t="str">
        <f t="shared" si="99"/>
        <v/>
      </c>
      <c r="CO89" s="13" t="str">
        <f t="shared" si="99"/>
        <v/>
      </c>
      <c r="CP89" s="13" t="str">
        <f t="shared" si="99"/>
        <v/>
      </c>
      <c r="CQ89" s="13" t="str">
        <f t="shared" si="99"/>
        <v/>
      </c>
      <c r="CR89" s="13" t="str">
        <f t="shared" si="99"/>
        <v/>
      </c>
      <c r="CS89" s="13" t="str">
        <f t="shared" si="100"/>
        <v/>
      </c>
      <c r="CT89" s="13" t="str">
        <f t="shared" si="100"/>
        <v/>
      </c>
      <c r="CU89" s="13" t="str">
        <f t="shared" si="100"/>
        <v/>
      </c>
      <c r="CV89" s="13" t="str">
        <f t="shared" si="100"/>
        <v/>
      </c>
      <c r="CW89" s="13" t="str">
        <f t="shared" si="100"/>
        <v/>
      </c>
      <c r="CX89" s="13" t="str">
        <f t="shared" si="100"/>
        <v/>
      </c>
      <c r="CY89" s="13" t="str">
        <f t="shared" si="100"/>
        <v/>
      </c>
      <c r="CZ89" s="13" t="str">
        <f t="shared" si="100"/>
        <v/>
      </c>
      <c r="DA89" s="13" t="str">
        <f t="shared" si="100"/>
        <v/>
      </c>
      <c r="DB89" s="13" t="str">
        <f t="shared" si="100"/>
        <v/>
      </c>
      <c r="DC89" s="13" t="str">
        <f t="shared" si="101"/>
        <v/>
      </c>
      <c r="DD89" s="13" t="str">
        <f t="shared" si="101"/>
        <v/>
      </c>
      <c r="DE89" s="13" t="str">
        <f t="shared" si="101"/>
        <v/>
      </c>
      <c r="DF89" s="13" t="str">
        <f t="shared" si="101"/>
        <v/>
      </c>
      <c r="DG89" s="13" t="str">
        <f t="shared" si="101"/>
        <v/>
      </c>
      <c r="DH89" s="13" t="str">
        <f t="shared" si="101"/>
        <v/>
      </c>
      <c r="DI89" s="13" t="str">
        <f t="shared" si="101"/>
        <v/>
      </c>
      <c r="DJ89" s="13" t="str">
        <f t="shared" si="101"/>
        <v/>
      </c>
      <c r="DK89" s="13" t="str">
        <f t="shared" si="101"/>
        <v/>
      </c>
      <c r="DL89" s="13" t="str">
        <f t="shared" si="101"/>
        <v/>
      </c>
      <c r="DM89" s="13" t="str">
        <f t="shared" si="102"/>
        <v/>
      </c>
      <c r="DN89" s="13" t="str">
        <f t="shared" si="102"/>
        <v/>
      </c>
      <c r="DO89" s="13" t="str">
        <f t="shared" si="102"/>
        <v/>
      </c>
      <c r="DP89" s="13" t="str">
        <f t="shared" si="102"/>
        <v/>
      </c>
      <c r="DQ89" s="13" t="str">
        <f t="shared" si="102"/>
        <v/>
      </c>
      <c r="DR89" s="13" t="str">
        <f t="shared" si="102"/>
        <v/>
      </c>
      <c r="DS89" s="13" t="str">
        <f t="shared" si="102"/>
        <v/>
      </c>
      <c r="DT89" s="13" t="str">
        <f t="shared" si="102"/>
        <v/>
      </c>
      <c r="DU89" s="13" t="str">
        <f t="shared" si="102"/>
        <v/>
      </c>
      <c r="DV89" s="13" t="str">
        <f t="shared" si="102"/>
        <v/>
      </c>
      <c r="DW89" s="13" t="str">
        <f t="shared" si="103"/>
        <v/>
      </c>
      <c r="DX89" s="13" t="str">
        <f t="shared" si="103"/>
        <v/>
      </c>
      <c r="DY89" s="13" t="str">
        <f t="shared" si="103"/>
        <v/>
      </c>
      <c r="DZ89" s="13" t="str">
        <f t="shared" si="103"/>
        <v/>
      </c>
      <c r="EA89" s="13" t="str">
        <f t="shared" si="103"/>
        <v/>
      </c>
      <c r="EB89" s="13" t="str">
        <f t="shared" si="103"/>
        <v/>
      </c>
      <c r="EC89" s="13" t="str">
        <f t="shared" si="103"/>
        <v/>
      </c>
      <c r="ED89" s="13" t="str">
        <f t="shared" si="103"/>
        <v/>
      </c>
      <c r="EE89" s="13" t="str">
        <f t="shared" si="103"/>
        <v/>
      </c>
      <c r="EF89" s="13" t="str">
        <f t="shared" si="103"/>
        <v/>
      </c>
      <c r="EG89" s="13" t="str">
        <f t="shared" si="103"/>
        <v/>
      </c>
      <c r="EH89" s="13" t="str">
        <f t="shared" si="103"/>
        <v/>
      </c>
    </row>
    <row r="90" spans="1:138" ht="13.5" customHeight="1">
      <c r="A90" s="55" t="s">
        <v>170</v>
      </c>
      <c r="B90" s="56" t="s">
        <v>171</v>
      </c>
      <c r="C90" s="57" t="s">
        <v>78</v>
      </c>
      <c r="D90" s="9" t="s">
        <v>79</v>
      </c>
      <c r="E90" s="10">
        <v>46350</v>
      </c>
      <c r="F90" s="10">
        <v>46351</v>
      </c>
      <c r="G90" s="11" t="str">
        <f t="shared" si="91"/>
        <v/>
      </c>
      <c r="H90" s="11" t="str">
        <f t="shared" si="91"/>
        <v/>
      </c>
      <c r="I90" s="11" t="str">
        <f t="shared" si="91"/>
        <v/>
      </c>
      <c r="J90" s="11" t="str">
        <f t="shared" si="91"/>
        <v/>
      </c>
      <c r="K90" s="11" t="str">
        <f t="shared" si="91"/>
        <v/>
      </c>
      <c r="L90" s="11" t="str">
        <f t="shared" si="91"/>
        <v/>
      </c>
      <c r="M90" s="11" t="str">
        <f t="shared" si="91"/>
        <v/>
      </c>
      <c r="N90" s="11" t="str">
        <f t="shared" si="91"/>
        <v/>
      </c>
      <c r="O90" s="11" t="str">
        <f t="shared" si="91"/>
        <v/>
      </c>
      <c r="P90" s="11" t="str">
        <f t="shared" si="91"/>
        <v/>
      </c>
      <c r="Q90" s="11" t="str">
        <f t="shared" si="92"/>
        <v/>
      </c>
      <c r="R90" s="11" t="str">
        <f t="shared" si="92"/>
        <v/>
      </c>
      <c r="S90" s="11" t="str">
        <f t="shared" si="92"/>
        <v/>
      </c>
      <c r="T90" s="11" t="str">
        <f t="shared" si="92"/>
        <v/>
      </c>
      <c r="U90" s="11" t="str">
        <f t="shared" si="92"/>
        <v/>
      </c>
      <c r="V90" s="11" t="str">
        <f t="shared" si="92"/>
        <v/>
      </c>
      <c r="W90" s="11" t="str">
        <f t="shared" si="92"/>
        <v/>
      </c>
      <c r="X90" s="11" t="str">
        <f t="shared" si="92"/>
        <v/>
      </c>
      <c r="Y90" s="11" t="str">
        <f t="shared" si="92"/>
        <v/>
      </c>
      <c r="Z90" s="11" t="str">
        <f t="shared" si="92"/>
        <v/>
      </c>
      <c r="AA90" s="11" t="str">
        <f t="shared" si="93"/>
        <v/>
      </c>
      <c r="AB90" s="11" t="str">
        <f t="shared" si="93"/>
        <v/>
      </c>
      <c r="AC90" s="11" t="str">
        <f t="shared" si="93"/>
        <v/>
      </c>
      <c r="AD90" s="11" t="str">
        <f t="shared" si="93"/>
        <v/>
      </c>
      <c r="AE90" s="11" t="str">
        <f t="shared" si="93"/>
        <v/>
      </c>
      <c r="AF90" s="11" t="str">
        <f t="shared" si="93"/>
        <v/>
      </c>
      <c r="AG90" s="11" t="str">
        <f t="shared" si="93"/>
        <v/>
      </c>
      <c r="AH90" s="11" t="str">
        <f t="shared" si="93"/>
        <v/>
      </c>
      <c r="AI90" s="11" t="str">
        <f t="shared" si="93"/>
        <v/>
      </c>
      <c r="AJ90" s="11" t="str">
        <f t="shared" si="93"/>
        <v/>
      </c>
      <c r="AK90" s="11" t="str">
        <f t="shared" si="94"/>
        <v/>
      </c>
      <c r="AL90" s="11" t="str">
        <f t="shared" si="94"/>
        <v/>
      </c>
      <c r="AM90" s="11" t="str">
        <f t="shared" si="94"/>
        <v/>
      </c>
      <c r="AN90" s="11" t="str">
        <f t="shared" si="94"/>
        <v/>
      </c>
      <c r="AO90" s="11" t="str">
        <f t="shared" si="94"/>
        <v/>
      </c>
      <c r="AP90" s="11" t="str">
        <f t="shared" si="94"/>
        <v/>
      </c>
      <c r="AQ90" s="11" t="str">
        <f t="shared" si="94"/>
        <v/>
      </c>
      <c r="AR90" s="11" t="str">
        <f t="shared" si="94"/>
        <v/>
      </c>
      <c r="AS90" s="11" t="str">
        <f t="shared" si="94"/>
        <v/>
      </c>
      <c r="AT90" s="11" t="str">
        <f t="shared" si="94"/>
        <v/>
      </c>
      <c r="AU90" s="11" t="str">
        <f t="shared" si="95"/>
        <v/>
      </c>
      <c r="AV90" s="11" t="str">
        <f t="shared" si="95"/>
        <v/>
      </c>
      <c r="AW90" s="11" t="str">
        <f t="shared" si="95"/>
        <v/>
      </c>
      <c r="AX90" s="11" t="str">
        <f t="shared" si="95"/>
        <v/>
      </c>
      <c r="AY90" s="11" t="str">
        <f t="shared" si="95"/>
        <v/>
      </c>
      <c r="AZ90" s="11" t="str">
        <f t="shared" si="95"/>
        <v/>
      </c>
      <c r="BA90" s="11" t="str">
        <f t="shared" si="95"/>
        <v/>
      </c>
      <c r="BB90" s="11" t="str">
        <f t="shared" si="95"/>
        <v/>
      </c>
      <c r="BC90" s="11" t="str">
        <f t="shared" si="95"/>
        <v/>
      </c>
      <c r="BD90" s="11" t="str">
        <f t="shared" si="95"/>
        <v/>
      </c>
      <c r="BE90" s="11" t="str">
        <f t="shared" si="96"/>
        <v/>
      </c>
      <c r="BF90" s="11" t="str">
        <f t="shared" si="96"/>
        <v/>
      </c>
      <c r="BG90" s="11" t="str">
        <f t="shared" si="96"/>
        <v/>
      </c>
      <c r="BH90" s="11" t="str">
        <f t="shared" si="96"/>
        <v/>
      </c>
      <c r="BI90" s="11" t="str">
        <f t="shared" si="96"/>
        <v/>
      </c>
      <c r="BJ90" s="11" t="str">
        <f t="shared" si="96"/>
        <v/>
      </c>
      <c r="BK90" s="11" t="str">
        <f t="shared" si="96"/>
        <v/>
      </c>
      <c r="BL90" s="11" t="str">
        <f t="shared" si="96"/>
        <v/>
      </c>
      <c r="BM90" s="11" t="str">
        <f t="shared" si="96"/>
        <v/>
      </c>
      <c r="BN90" s="11" t="str">
        <f t="shared" si="96"/>
        <v/>
      </c>
      <c r="BO90" s="11" t="str">
        <f t="shared" si="97"/>
        <v/>
      </c>
      <c r="BP90" s="11" t="str">
        <f t="shared" si="97"/>
        <v/>
      </c>
      <c r="BQ90" s="11" t="str">
        <f t="shared" si="97"/>
        <v/>
      </c>
      <c r="BR90" s="11" t="str">
        <f t="shared" si="97"/>
        <v/>
      </c>
      <c r="BS90" s="11" t="str">
        <f t="shared" si="97"/>
        <v/>
      </c>
      <c r="BT90" s="11" t="str">
        <f t="shared" si="97"/>
        <v/>
      </c>
      <c r="BU90" s="11" t="str">
        <f t="shared" si="97"/>
        <v/>
      </c>
      <c r="BV90" s="11" t="str">
        <f t="shared" si="97"/>
        <v/>
      </c>
      <c r="BW90" s="11" t="str">
        <f t="shared" si="97"/>
        <v/>
      </c>
      <c r="BX90" s="11" t="str">
        <f t="shared" si="97"/>
        <v/>
      </c>
      <c r="BY90" s="11" t="str">
        <f t="shared" si="98"/>
        <v/>
      </c>
      <c r="BZ90" s="11" t="str">
        <f t="shared" si="98"/>
        <v/>
      </c>
      <c r="CA90" s="11" t="str">
        <f t="shared" si="98"/>
        <v/>
      </c>
      <c r="CB90" s="11" t="str">
        <f t="shared" si="98"/>
        <v/>
      </c>
      <c r="CC90" s="11" t="str">
        <f t="shared" si="98"/>
        <v/>
      </c>
      <c r="CD90" s="11" t="str">
        <f t="shared" si="98"/>
        <v/>
      </c>
      <c r="CE90" s="11" t="str">
        <f t="shared" si="98"/>
        <v/>
      </c>
      <c r="CF90" s="11" t="str">
        <f t="shared" si="98"/>
        <v/>
      </c>
      <c r="CG90" s="11" t="str">
        <f t="shared" si="98"/>
        <v/>
      </c>
      <c r="CH90" s="11" t="str">
        <f t="shared" si="98"/>
        <v/>
      </c>
      <c r="CI90" s="11" t="str">
        <f t="shared" si="99"/>
        <v/>
      </c>
      <c r="CJ90" s="11" t="str">
        <f t="shared" si="99"/>
        <v/>
      </c>
      <c r="CK90" s="11" t="str">
        <f t="shared" si="99"/>
        <v/>
      </c>
      <c r="CL90" s="11" t="str">
        <f t="shared" si="99"/>
        <v/>
      </c>
      <c r="CM90" s="11" t="str">
        <f t="shared" si="99"/>
        <v/>
      </c>
      <c r="CN90" s="11" t="str">
        <f t="shared" si="99"/>
        <v/>
      </c>
      <c r="CO90" s="11" t="str">
        <f t="shared" si="99"/>
        <v/>
      </c>
      <c r="CP90" s="11" t="str">
        <f t="shared" si="99"/>
        <v/>
      </c>
      <c r="CQ90" s="11" t="str">
        <f t="shared" si="99"/>
        <v/>
      </c>
      <c r="CR90" s="11" t="str">
        <f t="shared" si="99"/>
        <v/>
      </c>
      <c r="CS90" s="11" t="str">
        <f t="shared" si="100"/>
        <v/>
      </c>
      <c r="CT90" s="11" t="str">
        <f t="shared" si="100"/>
        <v/>
      </c>
      <c r="CU90" s="11" t="str">
        <f t="shared" si="100"/>
        <v/>
      </c>
      <c r="CV90" s="11" t="str">
        <f t="shared" si="100"/>
        <v/>
      </c>
      <c r="CW90" s="11" t="str">
        <f t="shared" si="100"/>
        <v/>
      </c>
      <c r="CX90" s="11" t="str">
        <f t="shared" si="100"/>
        <v/>
      </c>
      <c r="CY90" s="11" t="str">
        <f t="shared" si="100"/>
        <v/>
      </c>
      <c r="CZ90" s="11" t="str">
        <f t="shared" si="100"/>
        <v/>
      </c>
      <c r="DA90" s="11" t="str">
        <f t="shared" si="100"/>
        <v/>
      </c>
      <c r="DB90" s="11" t="str">
        <f t="shared" si="100"/>
        <v/>
      </c>
      <c r="DC90" s="11" t="str">
        <f t="shared" si="101"/>
        <v/>
      </c>
      <c r="DD90" s="11" t="str">
        <f t="shared" si="101"/>
        <v/>
      </c>
      <c r="DE90" s="11" t="str">
        <f t="shared" si="101"/>
        <v/>
      </c>
      <c r="DF90" s="11" t="str">
        <f t="shared" si="101"/>
        <v/>
      </c>
      <c r="DG90" s="11" t="str">
        <f t="shared" si="101"/>
        <v/>
      </c>
      <c r="DH90" s="11" t="str">
        <f t="shared" si="101"/>
        <v/>
      </c>
      <c r="DI90" s="11" t="str">
        <f t="shared" si="101"/>
        <v/>
      </c>
      <c r="DJ90" s="11" t="str">
        <f t="shared" si="101"/>
        <v/>
      </c>
      <c r="DK90" s="11" t="str">
        <f t="shared" si="101"/>
        <v/>
      </c>
      <c r="DL90" s="11" t="str">
        <f t="shared" si="101"/>
        <v/>
      </c>
      <c r="DM90" s="11" t="str">
        <f t="shared" si="102"/>
        <v/>
      </c>
      <c r="DN90" s="11" t="str">
        <f t="shared" si="102"/>
        <v/>
      </c>
      <c r="DO90" s="11" t="str">
        <f t="shared" si="102"/>
        <v/>
      </c>
      <c r="DP90" s="11" t="str">
        <f t="shared" si="102"/>
        <v/>
      </c>
      <c r="DQ90" s="11" t="str">
        <f t="shared" si="102"/>
        <v/>
      </c>
      <c r="DR90" s="11" t="str">
        <f t="shared" si="102"/>
        <v>▪</v>
      </c>
      <c r="DS90" s="11" t="str">
        <f t="shared" si="102"/>
        <v>▪</v>
      </c>
      <c r="DT90" s="11" t="str">
        <f t="shared" si="102"/>
        <v/>
      </c>
      <c r="DU90" s="11" t="str">
        <f t="shared" si="102"/>
        <v/>
      </c>
      <c r="DV90" s="11" t="str">
        <f t="shared" si="102"/>
        <v/>
      </c>
      <c r="DW90" s="11" t="str">
        <f t="shared" si="103"/>
        <v/>
      </c>
      <c r="DX90" s="11" t="str">
        <f t="shared" si="103"/>
        <v/>
      </c>
      <c r="DY90" s="11" t="str">
        <f t="shared" si="103"/>
        <v/>
      </c>
      <c r="DZ90" s="11" t="str">
        <f t="shared" si="103"/>
        <v/>
      </c>
      <c r="EA90" s="11" t="str">
        <f t="shared" si="103"/>
        <v/>
      </c>
      <c r="EB90" s="11" t="str">
        <f t="shared" si="103"/>
        <v/>
      </c>
      <c r="EC90" s="11" t="str">
        <f t="shared" si="103"/>
        <v/>
      </c>
      <c r="ED90" s="11" t="str">
        <f t="shared" si="103"/>
        <v/>
      </c>
      <c r="EE90" s="11" t="str">
        <f t="shared" si="103"/>
        <v/>
      </c>
      <c r="EF90" s="11" t="str">
        <f t="shared" si="103"/>
        <v/>
      </c>
      <c r="EG90" s="11" t="str">
        <f t="shared" si="103"/>
        <v/>
      </c>
      <c r="EH90" s="11" t="str">
        <f t="shared" si="103"/>
        <v/>
      </c>
    </row>
    <row r="91" spans="1:138" ht="13.5" customHeight="1">
      <c r="A91" s="55"/>
      <c r="B91" s="55"/>
      <c r="C91" s="55"/>
      <c r="D91" s="12" t="s">
        <v>80</v>
      </c>
      <c r="E91" s="10"/>
      <c r="F91" s="10"/>
      <c r="G91" s="13" t="str">
        <f t="shared" si="91"/>
        <v/>
      </c>
      <c r="H91" s="13" t="str">
        <f t="shared" si="91"/>
        <v/>
      </c>
      <c r="I91" s="13" t="str">
        <f t="shared" si="91"/>
        <v/>
      </c>
      <c r="J91" s="13" t="str">
        <f t="shared" si="91"/>
        <v/>
      </c>
      <c r="K91" s="13" t="str">
        <f t="shared" si="91"/>
        <v/>
      </c>
      <c r="L91" s="13" t="str">
        <f t="shared" si="91"/>
        <v/>
      </c>
      <c r="M91" s="13" t="str">
        <f t="shared" si="91"/>
        <v/>
      </c>
      <c r="N91" s="13" t="str">
        <f t="shared" si="91"/>
        <v/>
      </c>
      <c r="O91" s="13" t="str">
        <f t="shared" si="91"/>
        <v/>
      </c>
      <c r="P91" s="13" t="str">
        <f t="shared" si="91"/>
        <v/>
      </c>
      <c r="Q91" s="13" t="str">
        <f t="shared" si="92"/>
        <v/>
      </c>
      <c r="R91" s="13" t="str">
        <f t="shared" si="92"/>
        <v/>
      </c>
      <c r="S91" s="13" t="str">
        <f t="shared" si="92"/>
        <v/>
      </c>
      <c r="T91" s="13" t="str">
        <f t="shared" si="92"/>
        <v/>
      </c>
      <c r="U91" s="13" t="str">
        <f t="shared" si="92"/>
        <v/>
      </c>
      <c r="V91" s="13" t="str">
        <f t="shared" si="92"/>
        <v/>
      </c>
      <c r="W91" s="13" t="str">
        <f t="shared" si="92"/>
        <v/>
      </c>
      <c r="X91" s="13" t="str">
        <f t="shared" si="92"/>
        <v/>
      </c>
      <c r="Y91" s="13" t="str">
        <f t="shared" si="92"/>
        <v/>
      </c>
      <c r="Z91" s="13" t="str">
        <f t="shared" si="92"/>
        <v/>
      </c>
      <c r="AA91" s="13" t="str">
        <f t="shared" si="93"/>
        <v/>
      </c>
      <c r="AB91" s="13" t="str">
        <f t="shared" si="93"/>
        <v/>
      </c>
      <c r="AC91" s="13" t="str">
        <f t="shared" si="93"/>
        <v/>
      </c>
      <c r="AD91" s="13" t="str">
        <f t="shared" si="93"/>
        <v/>
      </c>
      <c r="AE91" s="13" t="str">
        <f t="shared" si="93"/>
        <v/>
      </c>
      <c r="AF91" s="13" t="str">
        <f t="shared" si="93"/>
        <v/>
      </c>
      <c r="AG91" s="13" t="str">
        <f t="shared" si="93"/>
        <v/>
      </c>
      <c r="AH91" s="13" t="str">
        <f t="shared" si="93"/>
        <v/>
      </c>
      <c r="AI91" s="13" t="str">
        <f t="shared" si="93"/>
        <v/>
      </c>
      <c r="AJ91" s="13" t="str">
        <f t="shared" si="93"/>
        <v/>
      </c>
      <c r="AK91" s="13" t="str">
        <f t="shared" si="94"/>
        <v/>
      </c>
      <c r="AL91" s="13" t="str">
        <f t="shared" si="94"/>
        <v/>
      </c>
      <c r="AM91" s="13" t="str">
        <f t="shared" si="94"/>
        <v/>
      </c>
      <c r="AN91" s="13" t="str">
        <f t="shared" si="94"/>
        <v/>
      </c>
      <c r="AO91" s="13" t="str">
        <f t="shared" si="94"/>
        <v/>
      </c>
      <c r="AP91" s="13" t="str">
        <f t="shared" si="94"/>
        <v/>
      </c>
      <c r="AQ91" s="13" t="str">
        <f t="shared" si="94"/>
        <v/>
      </c>
      <c r="AR91" s="13" t="str">
        <f t="shared" si="94"/>
        <v/>
      </c>
      <c r="AS91" s="13" t="str">
        <f t="shared" si="94"/>
        <v/>
      </c>
      <c r="AT91" s="13" t="str">
        <f t="shared" si="94"/>
        <v/>
      </c>
      <c r="AU91" s="13" t="str">
        <f t="shared" si="95"/>
        <v/>
      </c>
      <c r="AV91" s="13" t="str">
        <f t="shared" si="95"/>
        <v/>
      </c>
      <c r="AW91" s="13" t="str">
        <f t="shared" si="95"/>
        <v/>
      </c>
      <c r="AX91" s="13" t="str">
        <f t="shared" si="95"/>
        <v/>
      </c>
      <c r="AY91" s="13" t="str">
        <f t="shared" si="95"/>
        <v/>
      </c>
      <c r="AZ91" s="13" t="str">
        <f t="shared" si="95"/>
        <v/>
      </c>
      <c r="BA91" s="13" t="str">
        <f t="shared" si="95"/>
        <v/>
      </c>
      <c r="BB91" s="13" t="str">
        <f t="shared" si="95"/>
        <v/>
      </c>
      <c r="BC91" s="13" t="str">
        <f t="shared" si="95"/>
        <v/>
      </c>
      <c r="BD91" s="13" t="str">
        <f t="shared" si="95"/>
        <v/>
      </c>
      <c r="BE91" s="13" t="str">
        <f t="shared" si="96"/>
        <v/>
      </c>
      <c r="BF91" s="13" t="str">
        <f t="shared" si="96"/>
        <v/>
      </c>
      <c r="BG91" s="13" t="str">
        <f t="shared" si="96"/>
        <v/>
      </c>
      <c r="BH91" s="13" t="str">
        <f t="shared" si="96"/>
        <v/>
      </c>
      <c r="BI91" s="13" t="str">
        <f t="shared" si="96"/>
        <v/>
      </c>
      <c r="BJ91" s="13" t="str">
        <f t="shared" si="96"/>
        <v/>
      </c>
      <c r="BK91" s="13" t="str">
        <f t="shared" si="96"/>
        <v/>
      </c>
      <c r="BL91" s="13" t="str">
        <f t="shared" si="96"/>
        <v/>
      </c>
      <c r="BM91" s="13" t="str">
        <f t="shared" si="96"/>
        <v/>
      </c>
      <c r="BN91" s="13" t="str">
        <f t="shared" si="96"/>
        <v/>
      </c>
      <c r="BO91" s="13" t="str">
        <f t="shared" si="97"/>
        <v/>
      </c>
      <c r="BP91" s="13" t="str">
        <f t="shared" si="97"/>
        <v/>
      </c>
      <c r="BQ91" s="13" t="str">
        <f t="shared" si="97"/>
        <v/>
      </c>
      <c r="BR91" s="13" t="str">
        <f t="shared" si="97"/>
        <v/>
      </c>
      <c r="BS91" s="13" t="str">
        <f t="shared" si="97"/>
        <v/>
      </c>
      <c r="BT91" s="13" t="str">
        <f t="shared" si="97"/>
        <v/>
      </c>
      <c r="BU91" s="13" t="str">
        <f t="shared" si="97"/>
        <v/>
      </c>
      <c r="BV91" s="13" t="str">
        <f t="shared" si="97"/>
        <v/>
      </c>
      <c r="BW91" s="13" t="str">
        <f t="shared" si="97"/>
        <v/>
      </c>
      <c r="BX91" s="13" t="str">
        <f t="shared" si="97"/>
        <v/>
      </c>
      <c r="BY91" s="13" t="str">
        <f t="shared" si="98"/>
        <v/>
      </c>
      <c r="BZ91" s="13" t="str">
        <f t="shared" si="98"/>
        <v/>
      </c>
      <c r="CA91" s="13" t="str">
        <f t="shared" si="98"/>
        <v/>
      </c>
      <c r="CB91" s="13" t="str">
        <f t="shared" si="98"/>
        <v/>
      </c>
      <c r="CC91" s="13" t="str">
        <f t="shared" si="98"/>
        <v/>
      </c>
      <c r="CD91" s="13" t="str">
        <f t="shared" si="98"/>
        <v/>
      </c>
      <c r="CE91" s="13" t="str">
        <f t="shared" si="98"/>
        <v/>
      </c>
      <c r="CF91" s="13" t="str">
        <f t="shared" si="98"/>
        <v/>
      </c>
      <c r="CG91" s="13" t="str">
        <f t="shared" si="98"/>
        <v/>
      </c>
      <c r="CH91" s="13" t="str">
        <f t="shared" si="98"/>
        <v/>
      </c>
      <c r="CI91" s="13" t="str">
        <f t="shared" si="99"/>
        <v/>
      </c>
      <c r="CJ91" s="13" t="str">
        <f t="shared" si="99"/>
        <v/>
      </c>
      <c r="CK91" s="13" t="str">
        <f t="shared" si="99"/>
        <v/>
      </c>
      <c r="CL91" s="13" t="str">
        <f t="shared" si="99"/>
        <v/>
      </c>
      <c r="CM91" s="13" t="str">
        <f t="shared" si="99"/>
        <v/>
      </c>
      <c r="CN91" s="13" t="str">
        <f t="shared" si="99"/>
        <v/>
      </c>
      <c r="CO91" s="13" t="str">
        <f t="shared" si="99"/>
        <v/>
      </c>
      <c r="CP91" s="13" t="str">
        <f t="shared" si="99"/>
        <v/>
      </c>
      <c r="CQ91" s="13" t="str">
        <f t="shared" si="99"/>
        <v/>
      </c>
      <c r="CR91" s="13" t="str">
        <f t="shared" si="99"/>
        <v/>
      </c>
      <c r="CS91" s="13" t="str">
        <f t="shared" si="100"/>
        <v/>
      </c>
      <c r="CT91" s="13" t="str">
        <f t="shared" si="100"/>
        <v/>
      </c>
      <c r="CU91" s="13" t="str">
        <f t="shared" si="100"/>
        <v/>
      </c>
      <c r="CV91" s="13" t="str">
        <f t="shared" si="100"/>
        <v/>
      </c>
      <c r="CW91" s="13" t="str">
        <f t="shared" si="100"/>
        <v/>
      </c>
      <c r="CX91" s="13" t="str">
        <f t="shared" si="100"/>
        <v/>
      </c>
      <c r="CY91" s="13" t="str">
        <f t="shared" si="100"/>
        <v/>
      </c>
      <c r="CZ91" s="13" t="str">
        <f t="shared" si="100"/>
        <v/>
      </c>
      <c r="DA91" s="13" t="str">
        <f t="shared" si="100"/>
        <v/>
      </c>
      <c r="DB91" s="13" t="str">
        <f t="shared" si="100"/>
        <v/>
      </c>
      <c r="DC91" s="13" t="str">
        <f t="shared" si="101"/>
        <v/>
      </c>
      <c r="DD91" s="13" t="str">
        <f t="shared" si="101"/>
        <v/>
      </c>
      <c r="DE91" s="13" t="str">
        <f t="shared" si="101"/>
        <v/>
      </c>
      <c r="DF91" s="13" t="str">
        <f t="shared" si="101"/>
        <v/>
      </c>
      <c r="DG91" s="13" t="str">
        <f t="shared" si="101"/>
        <v/>
      </c>
      <c r="DH91" s="13" t="str">
        <f t="shared" si="101"/>
        <v/>
      </c>
      <c r="DI91" s="13" t="str">
        <f t="shared" si="101"/>
        <v/>
      </c>
      <c r="DJ91" s="13" t="str">
        <f t="shared" si="101"/>
        <v/>
      </c>
      <c r="DK91" s="13" t="str">
        <f t="shared" si="101"/>
        <v/>
      </c>
      <c r="DL91" s="13" t="str">
        <f t="shared" si="101"/>
        <v/>
      </c>
      <c r="DM91" s="13" t="str">
        <f t="shared" si="102"/>
        <v/>
      </c>
      <c r="DN91" s="13" t="str">
        <f t="shared" si="102"/>
        <v/>
      </c>
      <c r="DO91" s="13" t="str">
        <f t="shared" si="102"/>
        <v/>
      </c>
      <c r="DP91" s="13" t="str">
        <f t="shared" si="102"/>
        <v/>
      </c>
      <c r="DQ91" s="13" t="str">
        <f t="shared" si="102"/>
        <v/>
      </c>
      <c r="DR91" s="13" t="str">
        <f t="shared" si="102"/>
        <v/>
      </c>
      <c r="DS91" s="13" t="str">
        <f t="shared" si="102"/>
        <v/>
      </c>
      <c r="DT91" s="13" t="str">
        <f t="shared" si="102"/>
        <v/>
      </c>
      <c r="DU91" s="13" t="str">
        <f t="shared" si="102"/>
        <v/>
      </c>
      <c r="DV91" s="13" t="str">
        <f t="shared" si="102"/>
        <v/>
      </c>
      <c r="DW91" s="13" t="str">
        <f t="shared" si="103"/>
        <v/>
      </c>
      <c r="DX91" s="13" t="str">
        <f t="shared" si="103"/>
        <v/>
      </c>
      <c r="DY91" s="13" t="str">
        <f t="shared" si="103"/>
        <v/>
      </c>
      <c r="DZ91" s="13" t="str">
        <f t="shared" si="103"/>
        <v/>
      </c>
      <c r="EA91" s="13" t="str">
        <f t="shared" si="103"/>
        <v/>
      </c>
      <c r="EB91" s="13" t="str">
        <f t="shared" si="103"/>
        <v/>
      </c>
      <c r="EC91" s="13" t="str">
        <f t="shared" si="103"/>
        <v/>
      </c>
      <c r="ED91" s="13" t="str">
        <f t="shared" si="103"/>
        <v/>
      </c>
      <c r="EE91" s="13" t="str">
        <f t="shared" si="103"/>
        <v/>
      </c>
      <c r="EF91" s="13" t="str">
        <f t="shared" si="103"/>
        <v/>
      </c>
      <c r="EG91" s="13" t="str">
        <f t="shared" si="103"/>
        <v/>
      </c>
      <c r="EH91" s="13" t="str">
        <f t="shared" si="103"/>
        <v/>
      </c>
    </row>
    <row r="92" spans="1:138" ht="15.75" customHeight="1">
      <c r="A92" s="54" t="s">
        <v>172</v>
      </c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  <c r="DO92" s="54"/>
      <c r="DP92" s="54"/>
      <c r="DQ92" s="54"/>
      <c r="DR92" s="54"/>
      <c r="DS92" s="54"/>
      <c r="DT92" s="54"/>
      <c r="DU92" s="54"/>
      <c r="DV92" s="54"/>
      <c r="DW92" s="54"/>
      <c r="DX92" s="54"/>
      <c r="DY92" s="54"/>
      <c r="DZ92" s="54"/>
      <c r="EA92" s="54"/>
      <c r="EB92" s="54"/>
      <c r="EC92" s="54"/>
      <c r="ED92" s="54"/>
      <c r="EE92" s="54"/>
      <c r="EF92" s="54"/>
      <c r="EG92" s="54"/>
      <c r="EH92" s="54"/>
    </row>
    <row r="93" spans="1:138" ht="13.5" customHeight="1">
      <c r="A93" s="55" t="s">
        <v>173</v>
      </c>
      <c r="B93" s="56" t="s">
        <v>174</v>
      </c>
      <c r="C93" s="57" t="s">
        <v>78</v>
      </c>
      <c r="D93" s="9" t="s">
        <v>79</v>
      </c>
      <c r="E93" s="10">
        <v>46354</v>
      </c>
      <c r="F93" s="10">
        <v>46354</v>
      </c>
      <c r="G93" s="11" t="str">
        <f t="shared" ref="G93:P98" si="104">IF(AND($E93&lt;&gt;"",$F93&lt;&gt;"",$E93&lt;=G$3,$F93&gt;=G$3),"▪","")</f>
        <v/>
      </c>
      <c r="H93" s="11" t="str">
        <f t="shared" si="104"/>
        <v/>
      </c>
      <c r="I93" s="11" t="str">
        <f t="shared" si="104"/>
        <v/>
      </c>
      <c r="J93" s="11" t="str">
        <f t="shared" si="104"/>
        <v/>
      </c>
      <c r="K93" s="11" t="str">
        <f t="shared" si="104"/>
        <v/>
      </c>
      <c r="L93" s="11" t="str">
        <f t="shared" si="104"/>
        <v/>
      </c>
      <c r="M93" s="11" t="str">
        <f t="shared" si="104"/>
        <v/>
      </c>
      <c r="N93" s="11" t="str">
        <f t="shared" si="104"/>
        <v/>
      </c>
      <c r="O93" s="11" t="str">
        <f t="shared" si="104"/>
        <v/>
      </c>
      <c r="P93" s="11" t="str">
        <f t="shared" si="104"/>
        <v/>
      </c>
      <c r="Q93" s="11" t="str">
        <f t="shared" ref="Q93:Z98" si="105">IF(AND($E93&lt;&gt;"",$F93&lt;&gt;"",$E93&lt;=Q$3,$F93&gt;=Q$3),"▪","")</f>
        <v/>
      </c>
      <c r="R93" s="11" t="str">
        <f t="shared" si="105"/>
        <v/>
      </c>
      <c r="S93" s="11" t="str">
        <f t="shared" si="105"/>
        <v/>
      </c>
      <c r="T93" s="11" t="str">
        <f t="shared" si="105"/>
        <v/>
      </c>
      <c r="U93" s="11" t="str">
        <f t="shared" si="105"/>
        <v/>
      </c>
      <c r="V93" s="11" t="str">
        <f t="shared" si="105"/>
        <v/>
      </c>
      <c r="W93" s="11" t="str">
        <f t="shared" si="105"/>
        <v/>
      </c>
      <c r="X93" s="11" t="str">
        <f t="shared" si="105"/>
        <v/>
      </c>
      <c r="Y93" s="11" t="str">
        <f t="shared" si="105"/>
        <v/>
      </c>
      <c r="Z93" s="11" t="str">
        <f t="shared" si="105"/>
        <v/>
      </c>
      <c r="AA93" s="11" t="str">
        <f t="shared" ref="AA93:AJ98" si="106">IF(AND($E93&lt;&gt;"",$F93&lt;&gt;"",$E93&lt;=AA$3,$F93&gt;=AA$3),"▪","")</f>
        <v/>
      </c>
      <c r="AB93" s="11" t="str">
        <f t="shared" si="106"/>
        <v/>
      </c>
      <c r="AC93" s="11" t="str">
        <f t="shared" si="106"/>
        <v/>
      </c>
      <c r="AD93" s="11" t="str">
        <f t="shared" si="106"/>
        <v/>
      </c>
      <c r="AE93" s="11" t="str">
        <f t="shared" si="106"/>
        <v/>
      </c>
      <c r="AF93" s="11" t="str">
        <f t="shared" si="106"/>
        <v/>
      </c>
      <c r="AG93" s="11" t="str">
        <f t="shared" si="106"/>
        <v/>
      </c>
      <c r="AH93" s="11" t="str">
        <f t="shared" si="106"/>
        <v/>
      </c>
      <c r="AI93" s="11" t="str">
        <f t="shared" si="106"/>
        <v/>
      </c>
      <c r="AJ93" s="11" t="str">
        <f t="shared" si="106"/>
        <v/>
      </c>
      <c r="AK93" s="11" t="str">
        <f t="shared" ref="AK93:AT98" si="107">IF(AND($E93&lt;&gt;"",$F93&lt;&gt;"",$E93&lt;=AK$3,$F93&gt;=AK$3),"▪","")</f>
        <v/>
      </c>
      <c r="AL93" s="11" t="str">
        <f t="shared" si="107"/>
        <v/>
      </c>
      <c r="AM93" s="11" t="str">
        <f t="shared" si="107"/>
        <v/>
      </c>
      <c r="AN93" s="11" t="str">
        <f t="shared" si="107"/>
        <v/>
      </c>
      <c r="AO93" s="11" t="str">
        <f t="shared" si="107"/>
        <v/>
      </c>
      <c r="AP93" s="11" t="str">
        <f t="shared" si="107"/>
        <v/>
      </c>
      <c r="AQ93" s="11" t="str">
        <f t="shared" si="107"/>
        <v/>
      </c>
      <c r="AR93" s="11" t="str">
        <f t="shared" si="107"/>
        <v/>
      </c>
      <c r="AS93" s="11" t="str">
        <f t="shared" si="107"/>
        <v/>
      </c>
      <c r="AT93" s="11" t="str">
        <f t="shared" si="107"/>
        <v/>
      </c>
      <c r="AU93" s="11" t="str">
        <f t="shared" ref="AU93:BD98" si="108">IF(AND($E93&lt;&gt;"",$F93&lt;&gt;"",$E93&lt;=AU$3,$F93&gt;=AU$3),"▪","")</f>
        <v/>
      </c>
      <c r="AV93" s="11" t="str">
        <f t="shared" si="108"/>
        <v/>
      </c>
      <c r="AW93" s="11" t="str">
        <f t="shared" si="108"/>
        <v/>
      </c>
      <c r="AX93" s="11" t="str">
        <f t="shared" si="108"/>
        <v/>
      </c>
      <c r="AY93" s="11" t="str">
        <f t="shared" si="108"/>
        <v/>
      </c>
      <c r="AZ93" s="11" t="str">
        <f t="shared" si="108"/>
        <v/>
      </c>
      <c r="BA93" s="11" t="str">
        <f t="shared" si="108"/>
        <v/>
      </c>
      <c r="BB93" s="11" t="str">
        <f t="shared" si="108"/>
        <v/>
      </c>
      <c r="BC93" s="11" t="str">
        <f t="shared" si="108"/>
        <v/>
      </c>
      <c r="BD93" s="11" t="str">
        <f t="shared" si="108"/>
        <v/>
      </c>
      <c r="BE93" s="11" t="str">
        <f t="shared" ref="BE93:BN98" si="109">IF(AND($E93&lt;&gt;"",$F93&lt;&gt;"",$E93&lt;=BE$3,$F93&gt;=BE$3),"▪","")</f>
        <v/>
      </c>
      <c r="BF93" s="11" t="str">
        <f t="shared" si="109"/>
        <v/>
      </c>
      <c r="BG93" s="11" t="str">
        <f t="shared" si="109"/>
        <v/>
      </c>
      <c r="BH93" s="11" t="str">
        <f t="shared" si="109"/>
        <v/>
      </c>
      <c r="BI93" s="11" t="str">
        <f t="shared" si="109"/>
        <v/>
      </c>
      <c r="BJ93" s="11" t="str">
        <f t="shared" si="109"/>
        <v/>
      </c>
      <c r="BK93" s="11" t="str">
        <f t="shared" si="109"/>
        <v/>
      </c>
      <c r="BL93" s="11" t="str">
        <f t="shared" si="109"/>
        <v/>
      </c>
      <c r="BM93" s="11" t="str">
        <f t="shared" si="109"/>
        <v/>
      </c>
      <c r="BN93" s="11" t="str">
        <f t="shared" si="109"/>
        <v/>
      </c>
      <c r="BO93" s="11" t="str">
        <f t="shared" ref="BO93:BX98" si="110">IF(AND($E93&lt;&gt;"",$F93&lt;&gt;"",$E93&lt;=BO$3,$F93&gt;=BO$3),"▪","")</f>
        <v/>
      </c>
      <c r="BP93" s="11" t="str">
        <f t="shared" si="110"/>
        <v/>
      </c>
      <c r="BQ93" s="11" t="str">
        <f t="shared" si="110"/>
        <v/>
      </c>
      <c r="BR93" s="11" t="str">
        <f t="shared" si="110"/>
        <v/>
      </c>
      <c r="BS93" s="11" t="str">
        <f t="shared" si="110"/>
        <v/>
      </c>
      <c r="BT93" s="11" t="str">
        <f t="shared" si="110"/>
        <v/>
      </c>
      <c r="BU93" s="11" t="str">
        <f t="shared" si="110"/>
        <v/>
      </c>
      <c r="BV93" s="11" t="str">
        <f t="shared" si="110"/>
        <v/>
      </c>
      <c r="BW93" s="11" t="str">
        <f t="shared" si="110"/>
        <v/>
      </c>
      <c r="BX93" s="11" t="str">
        <f t="shared" si="110"/>
        <v/>
      </c>
      <c r="BY93" s="11" t="str">
        <f t="shared" ref="BY93:CH98" si="111">IF(AND($E93&lt;&gt;"",$F93&lt;&gt;"",$E93&lt;=BY$3,$F93&gt;=BY$3),"▪","")</f>
        <v/>
      </c>
      <c r="BZ93" s="11" t="str">
        <f t="shared" si="111"/>
        <v/>
      </c>
      <c r="CA93" s="11" t="str">
        <f t="shared" si="111"/>
        <v/>
      </c>
      <c r="CB93" s="11" t="str">
        <f t="shared" si="111"/>
        <v/>
      </c>
      <c r="CC93" s="11" t="str">
        <f t="shared" si="111"/>
        <v/>
      </c>
      <c r="CD93" s="11" t="str">
        <f t="shared" si="111"/>
        <v/>
      </c>
      <c r="CE93" s="11" t="str">
        <f t="shared" si="111"/>
        <v/>
      </c>
      <c r="CF93" s="11" t="str">
        <f t="shared" si="111"/>
        <v/>
      </c>
      <c r="CG93" s="11" t="str">
        <f t="shared" si="111"/>
        <v/>
      </c>
      <c r="CH93" s="11" t="str">
        <f t="shared" si="111"/>
        <v/>
      </c>
      <c r="CI93" s="11" t="str">
        <f t="shared" ref="CI93:CR98" si="112">IF(AND($E93&lt;&gt;"",$F93&lt;&gt;"",$E93&lt;=CI$3,$F93&gt;=CI$3),"▪","")</f>
        <v/>
      </c>
      <c r="CJ93" s="11" t="str">
        <f t="shared" si="112"/>
        <v/>
      </c>
      <c r="CK93" s="11" t="str">
        <f t="shared" si="112"/>
        <v/>
      </c>
      <c r="CL93" s="11" t="str">
        <f t="shared" si="112"/>
        <v/>
      </c>
      <c r="CM93" s="11" t="str">
        <f t="shared" si="112"/>
        <v/>
      </c>
      <c r="CN93" s="11" t="str">
        <f t="shared" si="112"/>
        <v/>
      </c>
      <c r="CO93" s="11" t="str">
        <f t="shared" si="112"/>
        <v/>
      </c>
      <c r="CP93" s="11" t="str">
        <f t="shared" si="112"/>
        <v/>
      </c>
      <c r="CQ93" s="11" t="str">
        <f t="shared" si="112"/>
        <v/>
      </c>
      <c r="CR93" s="11" t="str">
        <f t="shared" si="112"/>
        <v/>
      </c>
      <c r="CS93" s="11" t="str">
        <f t="shared" ref="CS93:DB98" si="113">IF(AND($E93&lt;&gt;"",$F93&lt;&gt;"",$E93&lt;=CS$3,$F93&gt;=CS$3),"▪","")</f>
        <v/>
      </c>
      <c r="CT93" s="11" t="str">
        <f t="shared" si="113"/>
        <v/>
      </c>
      <c r="CU93" s="11" t="str">
        <f t="shared" si="113"/>
        <v/>
      </c>
      <c r="CV93" s="11" t="str">
        <f t="shared" si="113"/>
        <v/>
      </c>
      <c r="CW93" s="11" t="str">
        <f t="shared" si="113"/>
        <v/>
      </c>
      <c r="CX93" s="11" t="str">
        <f t="shared" si="113"/>
        <v/>
      </c>
      <c r="CY93" s="11" t="str">
        <f t="shared" si="113"/>
        <v/>
      </c>
      <c r="CZ93" s="11" t="str">
        <f t="shared" si="113"/>
        <v/>
      </c>
      <c r="DA93" s="11" t="str">
        <f t="shared" si="113"/>
        <v/>
      </c>
      <c r="DB93" s="11" t="str">
        <f t="shared" si="113"/>
        <v/>
      </c>
      <c r="DC93" s="11" t="str">
        <f t="shared" ref="DC93:DL98" si="114">IF(AND($E93&lt;&gt;"",$F93&lt;&gt;"",$E93&lt;=DC$3,$F93&gt;=DC$3),"▪","")</f>
        <v/>
      </c>
      <c r="DD93" s="11" t="str">
        <f t="shared" si="114"/>
        <v/>
      </c>
      <c r="DE93" s="11" t="str">
        <f t="shared" si="114"/>
        <v/>
      </c>
      <c r="DF93" s="11" t="str">
        <f t="shared" si="114"/>
        <v/>
      </c>
      <c r="DG93" s="11" t="str">
        <f t="shared" si="114"/>
        <v/>
      </c>
      <c r="DH93" s="11" t="str">
        <f t="shared" si="114"/>
        <v/>
      </c>
      <c r="DI93" s="11" t="str">
        <f t="shared" si="114"/>
        <v/>
      </c>
      <c r="DJ93" s="11" t="str">
        <f t="shared" si="114"/>
        <v/>
      </c>
      <c r="DK93" s="11" t="str">
        <f t="shared" si="114"/>
        <v/>
      </c>
      <c r="DL93" s="11" t="str">
        <f t="shared" si="114"/>
        <v/>
      </c>
      <c r="DM93" s="11" t="str">
        <f t="shared" ref="DM93:DV98" si="115">IF(AND($E93&lt;&gt;"",$F93&lt;&gt;"",$E93&lt;=DM$3,$F93&gt;=DM$3),"▪","")</f>
        <v/>
      </c>
      <c r="DN93" s="11" t="str">
        <f t="shared" si="115"/>
        <v/>
      </c>
      <c r="DO93" s="11" t="str">
        <f t="shared" si="115"/>
        <v/>
      </c>
      <c r="DP93" s="11" t="str">
        <f t="shared" si="115"/>
        <v/>
      </c>
      <c r="DQ93" s="11" t="str">
        <f t="shared" si="115"/>
        <v/>
      </c>
      <c r="DR93" s="11" t="str">
        <f t="shared" si="115"/>
        <v/>
      </c>
      <c r="DS93" s="11" t="str">
        <f t="shared" si="115"/>
        <v/>
      </c>
      <c r="DT93" s="11" t="str">
        <f t="shared" si="115"/>
        <v/>
      </c>
      <c r="DU93" s="11" t="str">
        <f t="shared" si="115"/>
        <v/>
      </c>
      <c r="DV93" s="11" t="str">
        <f t="shared" si="115"/>
        <v>▪</v>
      </c>
      <c r="DW93" s="11" t="str">
        <f t="shared" ref="DW93:EH98" si="116">IF(AND($E93&lt;&gt;"",$F93&lt;&gt;"",$E93&lt;=DW$3,$F93&gt;=DW$3),"▪","")</f>
        <v/>
      </c>
      <c r="DX93" s="11" t="str">
        <f t="shared" si="116"/>
        <v/>
      </c>
      <c r="DY93" s="11" t="str">
        <f t="shared" si="116"/>
        <v/>
      </c>
      <c r="DZ93" s="11" t="str">
        <f t="shared" si="116"/>
        <v/>
      </c>
      <c r="EA93" s="11" t="str">
        <f t="shared" si="116"/>
        <v/>
      </c>
      <c r="EB93" s="11" t="str">
        <f t="shared" si="116"/>
        <v/>
      </c>
      <c r="EC93" s="11" t="str">
        <f t="shared" si="116"/>
        <v/>
      </c>
      <c r="ED93" s="11" t="str">
        <f t="shared" si="116"/>
        <v/>
      </c>
      <c r="EE93" s="11" t="str">
        <f t="shared" si="116"/>
        <v/>
      </c>
      <c r="EF93" s="11" t="str">
        <f t="shared" si="116"/>
        <v/>
      </c>
      <c r="EG93" s="11" t="str">
        <f t="shared" si="116"/>
        <v/>
      </c>
      <c r="EH93" s="11" t="str">
        <f t="shared" si="116"/>
        <v/>
      </c>
    </row>
    <row r="94" spans="1:138" ht="13.5" customHeight="1">
      <c r="A94" s="55"/>
      <c r="B94" s="55"/>
      <c r="C94" s="55"/>
      <c r="D94" s="12" t="s">
        <v>80</v>
      </c>
      <c r="E94" s="10"/>
      <c r="F94" s="10"/>
      <c r="G94" s="13" t="str">
        <f t="shared" si="104"/>
        <v/>
      </c>
      <c r="H94" s="13" t="str">
        <f t="shared" si="104"/>
        <v/>
      </c>
      <c r="I94" s="13" t="str">
        <f t="shared" si="104"/>
        <v/>
      </c>
      <c r="J94" s="13" t="str">
        <f t="shared" si="104"/>
        <v/>
      </c>
      <c r="K94" s="13" t="str">
        <f t="shared" si="104"/>
        <v/>
      </c>
      <c r="L94" s="13" t="str">
        <f t="shared" si="104"/>
        <v/>
      </c>
      <c r="M94" s="13" t="str">
        <f t="shared" si="104"/>
        <v/>
      </c>
      <c r="N94" s="13" t="str">
        <f t="shared" si="104"/>
        <v/>
      </c>
      <c r="O94" s="13" t="str">
        <f t="shared" si="104"/>
        <v/>
      </c>
      <c r="P94" s="13" t="str">
        <f t="shared" si="104"/>
        <v/>
      </c>
      <c r="Q94" s="13" t="str">
        <f t="shared" si="105"/>
        <v/>
      </c>
      <c r="R94" s="13" t="str">
        <f t="shared" si="105"/>
        <v/>
      </c>
      <c r="S94" s="13" t="str">
        <f t="shared" si="105"/>
        <v/>
      </c>
      <c r="T94" s="13" t="str">
        <f t="shared" si="105"/>
        <v/>
      </c>
      <c r="U94" s="13" t="str">
        <f t="shared" si="105"/>
        <v/>
      </c>
      <c r="V94" s="13" t="str">
        <f t="shared" si="105"/>
        <v/>
      </c>
      <c r="W94" s="13" t="str">
        <f t="shared" si="105"/>
        <v/>
      </c>
      <c r="X94" s="13" t="str">
        <f t="shared" si="105"/>
        <v/>
      </c>
      <c r="Y94" s="13" t="str">
        <f t="shared" si="105"/>
        <v/>
      </c>
      <c r="Z94" s="13" t="str">
        <f t="shared" si="105"/>
        <v/>
      </c>
      <c r="AA94" s="13" t="str">
        <f t="shared" si="106"/>
        <v/>
      </c>
      <c r="AB94" s="13" t="str">
        <f t="shared" si="106"/>
        <v/>
      </c>
      <c r="AC94" s="13" t="str">
        <f t="shared" si="106"/>
        <v/>
      </c>
      <c r="AD94" s="13" t="str">
        <f t="shared" si="106"/>
        <v/>
      </c>
      <c r="AE94" s="13" t="str">
        <f t="shared" si="106"/>
        <v/>
      </c>
      <c r="AF94" s="13" t="str">
        <f t="shared" si="106"/>
        <v/>
      </c>
      <c r="AG94" s="13" t="str">
        <f t="shared" si="106"/>
        <v/>
      </c>
      <c r="AH94" s="13" t="str">
        <f t="shared" si="106"/>
        <v/>
      </c>
      <c r="AI94" s="13" t="str">
        <f t="shared" si="106"/>
        <v/>
      </c>
      <c r="AJ94" s="13" t="str">
        <f t="shared" si="106"/>
        <v/>
      </c>
      <c r="AK94" s="13" t="str">
        <f t="shared" si="107"/>
        <v/>
      </c>
      <c r="AL94" s="13" t="str">
        <f t="shared" si="107"/>
        <v/>
      </c>
      <c r="AM94" s="13" t="str">
        <f t="shared" si="107"/>
        <v/>
      </c>
      <c r="AN94" s="13" t="str">
        <f t="shared" si="107"/>
        <v/>
      </c>
      <c r="AO94" s="13" t="str">
        <f t="shared" si="107"/>
        <v/>
      </c>
      <c r="AP94" s="13" t="str">
        <f t="shared" si="107"/>
        <v/>
      </c>
      <c r="AQ94" s="13" t="str">
        <f t="shared" si="107"/>
        <v/>
      </c>
      <c r="AR94" s="13" t="str">
        <f t="shared" si="107"/>
        <v/>
      </c>
      <c r="AS94" s="13" t="str">
        <f t="shared" si="107"/>
        <v/>
      </c>
      <c r="AT94" s="13" t="str">
        <f t="shared" si="107"/>
        <v/>
      </c>
      <c r="AU94" s="13" t="str">
        <f t="shared" si="108"/>
        <v/>
      </c>
      <c r="AV94" s="13" t="str">
        <f t="shared" si="108"/>
        <v/>
      </c>
      <c r="AW94" s="13" t="str">
        <f t="shared" si="108"/>
        <v/>
      </c>
      <c r="AX94" s="13" t="str">
        <f t="shared" si="108"/>
        <v/>
      </c>
      <c r="AY94" s="13" t="str">
        <f t="shared" si="108"/>
        <v/>
      </c>
      <c r="AZ94" s="13" t="str">
        <f t="shared" si="108"/>
        <v/>
      </c>
      <c r="BA94" s="13" t="str">
        <f t="shared" si="108"/>
        <v/>
      </c>
      <c r="BB94" s="13" t="str">
        <f t="shared" si="108"/>
        <v/>
      </c>
      <c r="BC94" s="13" t="str">
        <f t="shared" si="108"/>
        <v/>
      </c>
      <c r="BD94" s="13" t="str">
        <f t="shared" si="108"/>
        <v/>
      </c>
      <c r="BE94" s="13" t="str">
        <f t="shared" si="109"/>
        <v/>
      </c>
      <c r="BF94" s="13" t="str">
        <f t="shared" si="109"/>
        <v/>
      </c>
      <c r="BG94" s="13" t="str">
        <f t="shared" si="109"/>
        <v/>
      </c>
      <c r="BH94" s="13" t="str">
        <f t="shared" si="109"/>
        <v/>
      </c>
      <c r="BI94" s="13" t="str">
        <f t="shared" si="109"/>
        <v/>
      </c>
      <c r="BJ94" s="13" t="str">
        <f t="shared" si="109"/>
        <v/>
      </c>
      <c r="BK94" s="13" t="str">
        <f t="shared" si="109"/>
        <v/>
      </c>
      <c r="BL94" s="13" t="str">
        <f t="shared" si="109"/>
        <v/>
      </c>
      <c r="BM94" s="13" t="str">
        <f t="shared" si="109"/>
        <v/>
      </c>
      <c r="BN94" s="13" t="str">
        <f t="shared" si="109"/>
        <v/>
      </c>
      <c r="BO94" s="13" t="str">
        <f t="shared" si="110"/>
        <v/>
      </c>
      <c r="BP94" s="13" t="str">
        <f t="shared" si="110"/>
        <v/>
      </c>
      <c r="BQ94" s="13" t="str">
        <f t="shared" si="110"/>
        <v/>
      </c>
      <c r="BR94" s="13" t="str">
        <f t="shared" si="110"/>
        <v/>
      </c>
      <c r="BS94" s="13" t="str">
        <f t="shared" si="110"/>
        <v/>
      </c>
      <c r="BT94" s="13" t="str">
        <f t="shared" si="110"/>
        <v/>
      </c>
      <c r="BU94" s="13" t="str">
        <f t="shared" si="110"/>
        <v/>
      </c>
      <c r="BV94" s="13" t="str">
        <f t="shared" si="110"/>
        <v/>
      </c>
      <c r="BW94" s="13" t="str">
        <f t="shared" si="110"/>
        <v/>
      </c>
      <c r="BX94" s="13" t="str">
        <f t="shared" si="110"/>
        <v/>
      </c>
      <c r="BY94" s="13" t="str">
        <f t="shared" si="111"/>
        <v/>
      </c>
      <c r="BZ94" s="13" t="str">
        <f t="shared" si="111"/>
        <v/>
      </c>
      <c r="CA94" s="13" t="str">
        <f t="shared" si="111"/>
        <v/>
      </c>
      <c r="CB94" s="13" t="str">
        <f t="shared" si="111"/>
        <v/>
      </c>
      <c r="CC94" s="13" t="str">
        <f t="shared" si="111"/>
        <v/>
      </c>
      <c r="CD94" s="13" t="str">
        <f t="shared" si="111"/>
        <v/>
      </c>
      <c r="CE94" s="13" t="str">
        <f t="shared" si="111"/>
        <v/>
      </c>
      <c r="CF94" s="13" t="str">
        <f t="shared" si="111"/>
        <v/>
      </c>
      <c r="CG94" s="13" t="str">
        <f t="shared" si="111"/>
        <v/>
      </c>
      <c r="CH94" s="13" t="str">
        <f t="shared" si="111"/>
        <v/>
      </c>
      <c r="CI94" s="13" t="str">
        <f t="shared" si="112"/>
        <v/>
      </c>
      <c r="CJ94" s="13" t="str">
        <f t="shared" si="112"/>
        <v/>
      </c>
      <c r="CK94" s="13" t="str">
        <f t="shared" si="112"/>
        <v/>
      </c>
      <c r="CL94" s="13" t="str">
        <f t="shared" si="112"/>
        <v/>
      </c>
      <c r="CM94" s="13" t="str">
        <f t="shared" si="112"/>
        <v/>
      </c>
      <c r="CN94" s="13" t="str">
        <f t="shared" si="112"/>
        <v/>
      </c>
      <c r="CO94" s="13" t="str">
        <f t="shared" si="112"/>
        <v/>
      </c>
      <c r="CP94" s="13" t="str">
        <f t="shared" si="112"/>
        <v/>
      </c>
      <c r="CQ94" s="13" t="str">
        <f t="shared" si="112"/>
        <v/>
      </c>
      <c r="CR94" s="13" t="str">
        <f t="shared" si="112"/>
        <v/>
      </c>
      <c r="CS94" s="13" t="str">
        <f t="shared" si="113"/>
        <v/>
      </c>
      <c r="CT94" s="13" t="str">
        <f t="shared" si="113"/>
        <v/>
      </c>
      <c r="CU94" s="13" t="str">
        <f t="shared" si="113"/>
        <v/>
      </c>
      <c r="CV94" s="13" t="str">
        <f t="shared" si="113"/>
        <v/>
      </c>
      <c r="CW94" s="13" t="str">
        <f t="shared" si="113"/>
        <v/>
      </c>
      <c r="CX94" s="13" t="str">
        <f t="shared" si="113"/>
        <v/>
      </c>
      <c r="CY94" s="13" t="str">
        <f t="shared" si="113"/>
        <v/>
      </c>
      <c r="CZ94" s="13" t="str">
        <f t="shared" si="113"/>
        <v/>
      </c>
      <c r="DA94" s="13" t="str">
        <f t="shared" si="113"/>
        <v/>
      </c>
      <c r="DB94" s="13" t="str">
        <f t="shared" si="113"/>
        <v/>
      </c>
      <c r="DC94" s="13" t="str">
        <f t="shared" si="114"/>
        <v/>
      </c>
      <c r="DD94" s="13" t="str">
        <f t="shared" si="114"/>
        <v/>
      </c>
      <c r="DE94" s="13" t="str">
        <f t="shared" si="114"/>
        <v/>
      </c>
      <c r="DF94" s="13" t="str">
        <f t="shared" si="114"/>
        <v/>
      </c>
      <c r="DG94" s="13" t="str">
        <f t="shared" si="114"/>
        <v/>
      </c>
      <c r="DH94" s="13" t="str">
        <f t="shared" si="114"/>
        <v/>
      </c>
      <c r="DI94" s="13" t="str">
        <f t="shared" si="114"/>
        <v/>
      </c>
      <c r="DJ94" s="13" t="str">
        <f t="shared" si="114"/>
        <v/>
      </c>
      <c r="DK94" s="13" t="str">
        <f t="shared" si="114"/>
        <v/>
      </c>
      <c r="DL94" s="13" t="str">
        <f t="shared" si="114"/>
        <v/>
      </c>
      <c r="DM94" s="13" t="str">
        <f t="shared" si="115"/>
        <v/>
      </c>
      <c r="DN94" s="13" t="str">
        <f t="shared" si="115"/>
        <v/>
      </c>
      <c r="DO94" s="13" t="str">
        <f t="shared" si="115"/>
        <v/>
      </c>
      <c r="DP94" s="13" t="str">
        <f t="shared" si="115"/>
        <v/>
      </c>
      <c r="DQ94" s="13" t="str">
        <f t="shared" si="115"/>
        <v/>
      </c>
      <c r="DR94" s="13" t="str">
        <f t="shared" si="115"/>
        <v/>
      </c>
      <c r="DS94" s="13" t="str">
        <f t="shared" si="115"/>
        <v/>
      </c>
      <c r="DT94" s="13" t="str">
        <f t="shared" si="115"/>
        <v/>
      </c>
      <c r="DU94" s="13" t="str">
        <f t="shared" si="115"/>
        <v/>
      </c>
      <c r="DV94" s="13" t="str">
        <f t="shared" si="115"/>
        <v/>
      </c>
      <c r="DW94" s="13" t="str">
        <f t="shared" si="116"/>
        <v/>
      </c>
      <c r="DX94" s="13" t="str">
        <f t="shared" si="116"/>
        <v/>
      </c>
      <c r="DY94" s="13" t="str">
        <f t="shared" si="116"/>
        <v/>
      </c>
      <c r="DZ94" s="13" t="str">
        <f t="shared" si="116"/>
        <v/>
      </c>
      <c r="EA94" s="13" t="str">
        <f t="shared" si="116"/>
        <v/>
      </c>
      <c r="EB94" s="13" t="str">
        <f t="shared" si="116"/>
        <v/>
      </c>
      <c r="EC94" s="13" t="str">
        <f t="shared" si="116"/>
        <v/>
      </c>
      <c r="ED94" s="13" t="str">
        <f t="shared" si="116"/>
        <v/>
      </c>
      <c r="EE94" s="13" t="str">
        <f t="shared" si="116"/>
        <v/>
      </c>
      <c r="EF94" s="13" t="str">
        <f t="shared" si="116"/>
        <v/>
      </c>
      <c r="EG94" s="13" t="str">
        <f t="shared" si="116"/>
        <v/>
      </c>
      <c r="EH94" s="13" t="str">
        <f t="shared" si="116"/>
        <v/>
      </c>
    </row>
    <row r="95" spans="1:138" ht="13.5" customHeight="1">
      <c r="A95" s="55" t="s">
        <v>175</v>
      </c>
      <c r="B95" s="56" t="s">
        <v>176</v>
      </c>
      <c r="C95" s="57" t="s">
        <v>86</v>
      </c>
      <c r="D95" s="9" t="s">
        <v>79</v>
      </c>
      <c r="E95" s="10">
        <v>46356</v>
      </c>
      <c r="F95" s="10">
        <v>46358</v>
      </c>
      <c r="G95" s="11" t="str">
        <f t="shared" si="104"/>
        <v/>
      </c>
      <c r="H95" s="11" t="str">
        <f t="shared" si="104"/>
        <v/>
      </c>
      <c r="I95" s="11" t="str">
        <f t="shared" si="104"/>
        <v/>
      </c>
      <c r="J95" s="11" t="str">
        <f t="shared" si="104"/>
        <v/>
      </c>
      <c r="K95" s="11" t="str">
        <f t="shared" si="104"/>
        <v/>
      </c>
      <c r="L95" s="11" t="str">
        <f t="shared" si="104"/>
        <v/>
      </c>
      <c r="M95" s="11" t="str">
        <f t="shared" si="104"/>
        <v/>
      </c>
      <c r="N95" s="11" t="str">
        <f t="shared" si="104"/>
        <v/>
      </c>
      <c r="O95" s="11" t="str">
        <f t="shared" si="104"/>
        <v/>
      </c>
      <c r="P95" s="11" t="str">
        <f t="shared" si="104"/>
        <v/>
      </c>
      <c r="Q95" s="11" t="str">
        <f t="shared" si="105"/>
        <v/>
      </c>
      <c r="R95" s="11" t="str">
        <f t="shared" si="105"/>
        <v/>
      </c>
      <c r="S95" s="11" t="str">
        <f t="shared" si="105"/>
        <v/>
      </c>
      <c r="T95" s="11" t="str">
        <f t="shared" si="105"/>
        <v/>
      </c>
      <c r="U95" s="11" t="str">
        <f t="shared" si="105"/>
        <v/>
      </c>
      <c r="V95" s="11" t="str">
        <f t="shared" si="105"/>
        <v/>
      </c>
      <c r="W95" s="11" t="str">
        <f t="shared" si="105"/>
        <v/>
      </c>
      <c r="X95" s="11" t="str">
        <f t="shared" si="105"/>
        <v/>
      </c>
      <c r="Y95" s="11" t="str">
        <f t="shared" si="105"/>
        <v/>
      </c>
      <c r="Z95" s="11" t="str">
        <f t="shared" si="105"/>
        <v/>
      </c>
      <c r="AA95" s="11" t="str">
        <f t="shared" si="106"/>
        <v/>
      </c>
      <c r="AB95" s="11" t="str">
        <f t="shared" si="106"/>
        <v/>
      </c>
      <c r="AC95" s="11" t="str">
        <f t="shared" si="106"/>
        <v/>
      </c>
      <c r="AD95" s="11" t="str">
        <f t="shared" si="106"/>
        <v/>
      </c>
      <c r="AE95" s="11" t="str">
        <f t="shared" si="106"/>
        <v/>
      </c>
      <c r="AF95" s="11" t="str">
        <f t="shared" si="106"/>
        <v/>
      </c>
      <c r="AG95" s="11" t="str">
        <f t="shared" si="106"/>
        <v/>
      </c>
      <c r="AH95" s="11" t="str">
        <f t="shared" si="106"/>
        <v/>
      </c>
      <c r="AI95" s="11" t="str">
        <f t="shared" si="106"/>
        <v/>
      </c>
      <c r="AJ95" s="11" t="str">
        <f t="shared" si="106"/>
        <v/>
      </c>
      <c r="AK95" s="11" t="str">
        <f t="shared" si="107"/>
        <v/>
      </c>
      <c r="AL95" s="11" t="str">
        <f t="shared" si="107"/>
        <v/>
      </c>
      <c r="AM95" s="11" t="str">
        <f t="shared" si="107"/>
        <v/>
      </c>
      <c r="AN95" s="11" t="str">
        <f t="shared" si="107"/>
        <v/>
      </c>
      <c r="AO95" s="11" t="str">
        <f t="shared" si="107"/>
        <v/>
      </c>
      <c r="AP95" s="11" t="str">
        <f t="shared" si="107"/>
        <v/>
      </c>
      <c r="AQ95" s="11" t="str">
        <f t="shared" si="107"/>
        <v/>
      </c>
      <c r="AR95" s="11" t="str">
        <f t="shared" si="107"/>
        <v/>
      </c>
      <c r="AS95" s="11" t="str">
        <f t="shared" si="107"/>
        <v/>
      </c>
      <c r="AT95" s="11" t="str">
        <f t="shared" si="107"/>
        <v/>
      </c>
      <c r="AU95" s="11" t="str">
        <f t="shared" si="108"/>
        <v/>
      </c>
      <c r="AV95" s="11" t="str">
        <f t="shared" si="108"/>
        <v/>
      </c>
      <c r="AW95" s="11" t="str">
        <f t="shared" si="108"/>
        <v/>
      </c>
      <c r="AX95" s="11" t="str">
        <f t="shared" si="108"/>
        <v/>
      </c>
      <c r="AY95" s="11" t="str">
        <f t="shared" si="108"/>
        <v/>
      </c>
      <c r="AZ95" s="11" t="str">
        <f t="shared" si="108"/>
        <v/>
      </c>
      <c r="BA95" s="11" t="str">
        <f t="shared" si="108"/>
        <v/>
      </c>
      <c r="BB95" s="11" t="str">
        <f t="shared" si="108"/>
        <v/>
      </c>
      <c r="BC95" s="11" t="str">
        <f t="shared" si="108"/>
        <v/>
      </c>
      <c r="BD95" s="11" t="str">
        <f t="shared" si="108"/>
        <v/>
      </c>
      <c r="BE95" s="11" t="str">
        <f t="shared" si="109"/>
        <v/>
      </c>
      <c r="BF95" s="11" t="str">
        <f t="shared" si="109"/>
        <v/>
      </c>
      <c r="BG95" s="11" t="str">
        <f t="shared" si="109"/>
        <v/>
      </c>
      <c r="BH95" s="11" t="str">
        <f t="shared" si="109"/>
        <v/>
      </c>
      <c r="BI95" s="11" t="str">
        <f t="shared" si="109"/>
        <v/>
      </c>
      <c r="BJ95" s="11" t="str">
        <f t="shared" si="109"/>
        <v/>
      </c>
      <c r="BK95" s="11" t="str">
        <f t="shared" si="109"/>
        <v/>
      </c>
      <c r="BL95" s="11" t="str">
        <f t="shared" si="109"/>
        <v/>
      </c>
      <c r="BM95" s="11" t="str">
        <f t="shared" si="109"/>
        <v/>
      </c>
      <c r="BN95" s="11" t="str">
        <f t="shared" si="109"/>
        <v/>
      </c>
      <c r="BO95" s="11" t="str">
        <f t="shared" si="110"/>
        <v/>
      </c>
      <c r="BP95" s="11" t="str">
        <f t="shared" si="110"/>
        <v/>
      </c>
      <c r="BQ95" s="11" t="str">
        <f t="shared" si="110"/>
        <v/>
      </c>
      <c r="BR95" s="11" t="str">
        <f t="shared" si="110"/>
        <v/>
      </c>
      <c r="BS95" s="11" t="str">
        <f t="shared" si="110"/>
        <v/>
      </c>
      <c r="BT95" s="11" t="str">
        <f t="shared" si="110"/>
        <v/>
      </c>
      <c r="BU95" s="11" t="str">
        <f t="shared" si="110"/>
        <v/>
      </c>
      <c r="BV95" s="11" t="str">
        <f t="shared" si="110"/>
        <v/>
      </c>
      <c r="BW95" s="11" t="str">
        <f t="shared" si="110"/>
        <v/>
      </c>
      <c r="BX95" s="11" t="str">
        <f t="shared" si="110"/>
        <v/>
      </c>
      <c r="BY95" s="11" t="str">
        <f t="shared" si="111"/>
        <v/>
      </c>
      <c r="BZ95" s="11" t="str">
        <f t="shared" si="111"/>
        <v/>
      </c>
      <c r="CA95" s="11" t="str">
        <f t="shared" si="111"/>
        <v/>
      </c>
      <c r="CB95" s="11" t="str">
        <f t="shared" si="111"/>
        <v/>
      </c>
      <c r="CC95" s="11" t="str">
        <f t="shared" si="111"/>
        <v/>
      </c>
      <c r="CD95" s="11" t="str">
        <f t="shared" si="111"/>
        <v/>
      </c>
      <c r="CE95" s="11" t="str">
        <f t="shared" si="111"/>
        <v/>
      </c>
      <c r="CF95" s="11" t="str">
        <f t="shared" si="111"/>
        <v/>
      </c>
      <c r="CG95" s="11" t="str">
        <f t="shared" si="111"/>
        <v/>
      </c>
      <c r="CH95" s="11" t="str">
        <f t="shared" si="111"/>
        <v/>
      </c>
      <c r="CI95" s="11" t="str">
        <f t="shared" si="112"/>
        <v/>
      </c>
      <c r="CJ95" s="11" t="str">
        <f t="shared" si="112"/>
        <v/>
      </c>
      <c r="CK95" s="11" t="str">
        <f t="shared" si="112"/>
        <v/>
      </c>
      <c r="CL95" s="11" t="str">
        <f t="shared" si="112"/>
        <v/>
      </c>
      <c r="CM95" s="11" t="str">
        <f t="shared" si="112"/>
        <v/>
      </c>
      <c r="CN95" s="11" t="str">
        <f t="shared" si="112"/>
        <v/>
      </c>
      <c r="CO95" s="11" t="str">
        <f t="shared" si="112"/>
        <v/>
      </c>
      <c r="CP95" s="11" t="str">
        <f t="shared" si="112"/>
        <v/>
      </c>
      <c r="CQ95" s="11" t="str">
        <f t="shared" si="112"/>
        <v/>
      </c>
      <c r="CR95" s="11" t="str">
        <f t="shared" si="112"/>
        <v/>
      </c>
      <c r="CS95" s="11" t="str">
        <f t="shared" si="113"/>
        <v/>
      </c>
      <c r="CT95" s="11" t="str">
        <f t="shared" si="113"/>
        <v/>
      </c>
      <c r="CU95" s="11" t="str">
        <f t="shared" si="113"/>
        <v/>
      </c>
      <c r="CV95" s="11" t="str">
        <f t="shared" si="113"/>
        <v/>
      </c>
      <c r="CW95" s="11" t="str">
        <f t="shared" si="113"/>
        <v/>
      </c>
      <c r="CX95" s="11" t="str">
        <f t="shared" si="113"/>
        <v/>
      </c>
      <c r="CY95" s="11" t="str">
        <f t="shared" si="113"/>
        <v/>
      </c>
      <c r="CZ95" s="11" t="str">
        <f t="shared" si="113"/>
        <v/>
      </c>
      <c r="DA95" s="11" t="str">
        <f t="shared" si="113"/>
        <v/>
      </c>
      <c r="DB95" s="11" t="str">
        <f t="shared" si="113"/>
        <v/>
      </c>
      <c r="DC95" s="11" t="str">
        <f t="shared" si="114"/>
        <v/>
      </c>
      <c r="DD95" s="11" t="str">
        <f t="shared" si="114"/>
        <v/>
      </c>
      <c r="DE95" s="11" t="str">
        <f t="shared" si="114"/>
        <v/>
      </c>
      <c r="DF95" s="11" t="str">
        <f t="shared" si="114"/>
        <v/>
      </c>
      <c r="DG95" s="11" t="str">
        <f t="shared" si="114"/>
        <v/>
      </c>
      <c r="DH95" s="11" t="str">
        <f t="shared" si="114"/>
        <v/>
      </c>
      <c r="DI95" s="11" t="str">
        <f t="shared" si="114"/>
        <v/>
      </c>
      <c r="DJ95" s="11" t="str">
        <f t="shared" si="114"/>
        <v/>
      </c>
      <c r="DK95" s="11" t="str">
        <f t="shared" si="114"/>
        <v/>
      </c>
      <c r="DL95" s="11" t="str">
        <f t="shared" si="114"/>
        <v/>
      </c>
      <c r="DM95" s="11" t="str">
        <f t="shared" si="115"/>
        <v/>
      </c>
      <c r="DN95" s="11" t="str">
        <f t="shared" si="115"/>
        <v/>
      </c>
      <c r="DO95" s="11" t="str">
        <f t="shared" si="115"/>
        <v/>
      </c>
      <c r="DP95" s="11" t="str">
        <f t="shared" si="115"/>
        <v/>
      </c>
      <c r="DQ95" s="11" t="str">
        <f t="shared" si="115"/>
        <v/>
      </c>
      <c r="DR95" s="11" t="str">
        <f t="shared" si="115"/>
        <v/>
      </c>
      <c r="DS95" s="11" t="str">
        <f t="shared" si="115"/>
        <v/>
      </c>
      <c r="DT95" s="11" t="str">
        <f t="shared" si="115"/>
        <v/>
      </c>
      <c r="DU95" s="11" t="str">
        <f t="shared" si="115"/>
        <v/>
      </c>
      <c r="DV95" s="11" t="str">
        <f t="shared" si="115"/>
        <v/>
      </c>
      <c r="DW95" s="11" t="str">
        <f t="shared" si="116"/>
        <v/>
      </c>
      <c r="DX95" s="11" t="str">
        <f t="shared" si="116"/>
        <v>▪</v>
      </c>
      <c r="DY95" s="11" t="str">
        <f t="shared" si="116"/>
        <v>▪</v>
      </c>
      <c r="DZ95" s="11" t="str">
        <f t="shared" si="116"/>
        <v>▪</v>
      </c>
      <c r="EA95" s="11" t="str">
        <f t="shared" si="116"/>
        <v/>
      </c>
      <c r="EB95" s="11" t="str">
        <f t="shared" si="116"/>
        <v/>
      </c>
      <c r="EC95" s="11" t="str">
        <f t="shared" si="116"/>
        <v/>
      </c>
      <c r="ED95" s="11" t="str">
        <f t="shared" si="116"/>
        <v/>
      </c>
      <c r="EE95" s="11" t="str">
        <f t="shared" si="116"/>
        <v/>
      </c>
      <c r="EF95" s="11" t="str">
        <f t="shared" si="116"/>
        <v/>
      </c>
      <c r="EG95" s="11" t="str">
        <f t="shared" si="116"/>
        <v/>
      </c>
      <c r="EH95" s="11" t="str">
        <f t="shared" si="116"/>
        <v/>
      </c>
    </row>
    <row r="96" spans="1:138" ht="13.5" customHeight="1">
      <c r="A96" s="55"/>
      <c r="B96" s="55"/>
      <c r="C96" s="55"/>
      <c r="D96" s="12" t="s">
        <v>80</v>
      </c>
      <c r="E96" s="10"/>
      <c r="F96" s="10"/>
      <c r="G96" s="13" t="str">
        <f t="shared" si="104"/>
        <v/>
      </c>
      <c r="H96" s="13" t="str">
        <f t="shared" si="104"/>
        <v/>
      </c>
      <c r="I96" s="13" t="str">
        <f t="shared" si="104"/>
        <v/>
      </c>
      <c r="J96" s="13" t="str">
        <f t="shared" si="104"/>
        <v/>
      </c>
      <c r="K96" s="13" t="str">
        <f t="shared" si="104"/>
        <v/>
      </c>
      <c r="L96" s="13" t="str">
        <f t="shared" si="104"/>
        <v/>
      </c>
      <c r="M96" s="13" t="str">
        <f t="shared" si="104"/>
        <v/>
      </c>
      <c r="N96" s="13" t="str">
        <f t="shared" si="104"/>
        <v/>
      </c>
      <c r="O96" s="13" t="str">
        <f t="shared" si="104"/>
        <v/>
      </c>
      <c r="P96" s="13" t="str">
        <f t="shared" si="104"/>
        <v/>
      </c>
      <c r="Q96" s="13" t="str">
        <f t="shared" si="105"/>
        <v/>
      </c>
      <c r="R96" s="13" t="str">
        <f t="shared" si="105"/>
        <v/>
      </c>
      <c r="S96" s="13" t="str">
        <f t="shared" si="105"/>
        <v/>
      </c>
      <c r="T96" s="13" t="str">
        <f t="shared" si="105"/>
        <v/>
      </c>
      <c r="U96" s="13" t="str">
        <f t="shared" si="105"/>
        <v/>
      </c>
      <c r="V96" s="13" t="str">
        <f t="shared" si="105"/>
        <v/>
      </c>
      <c r="W96" s="13" t="str">
        <f t="shared" si="105"/>
        <v/>
      </c>
      <c r="X96" s="13" t="str">
        <f t="shared" si="105"/>
        <v/>
      </c>
      <c r="Y96" s="13" t="str">
        <f t="shared" si="105"/>
        <v/>
      </c>
      <c r="Z96" s="13" t="str">
        <f t="shared" si="105"/>
        <v/>
      </c>
      <c r="AA96" s="13" t="str">
        <f t="shared" si="106"/>
        <v/>
      </c>
      <c r="AB96" s="13" t="str">
        <f t="shared" si="106"/>
        <v/>
      </c>
      <c r="AC96" s="13" t="str">
        <f t="shared" si="106"/>
        <v/>
      </c>
      <c r="AD96" s="13" t="str">
        <f t="shared" si="106"/>
        <v/>
      </c>
      <c r="AE96" s="13" t="str">
        <f t="shared" si="106"/>
        <v/>
      </c>
      <c r="AF96" s="13" t="str">
        <f t="shared" si="106"/>
        <v/>
      </c>
      <c r="AG96" s="13" t="str">
        <f t="shared" si="106"/>
        <v/>
      </c>
      <c r="AH96" s="13" t="str">
        <f t="shared" si="106"/>
        <v/>
      </c>
      <c r="AI96" s="13" t="str">
        <f t="shared" si="106"/>
        <v/>
      </c>
      <c r="AJ96" s="13" t="str">
        <f t="shared" si="106"/>
        <v/>
      </c>
      <c r="AK96" s="13" t="str">
        <f t="shared" si="107"/>
        <v/>
      </c>
      <c r="AL96" s="13" t="str">
        <f t="shared" si="107"/>
        <v/>
      </c>
      <c r="AM96" s="13" t="str">
        <f t="shared" si="107"/>
        <v/>
      </c>
      <c r="AN96" s="13" t="str">
        <f t="shared" si="107"/>
        <v/>
      </c>
      <c r="AO96" s="13" t="str">
        <f t="shared" si="107"/>
        <v/>
      </c>
      <c r="AP96" s="13" t="str">
        <f t="shared" si="107"/>
        <v/>
      </c>
      <c r="AQ96" s="13" t="str">
        <f t="shared" si="107"/>
        <v/>
      </c>
      <c r="AR96" s="13" t="str">
        <f t="shared" si="107"/>
        <v/>
      </c>
      <c r="AS96" s="13" t="str">
        <f t="shared" si="107"/>
        <v/>
      </c>
      <c r="AT96" s="13" t="str">
        <f t="shared" si="107"/>
        <v/>
      </c>
      <c r="AU96" s="13" t="str">
        <f t="shared" si="108"/>
        <v/>
      </c>
      <c r="AV96" s="13" t="str">
        <f t="shared" si="108"/>
        <v/>
      </c>
      <c r="AW96" s="13" t="str">
        <f t="shared" si="108"/>
        <v/>
      </c>
      <c r="AX96" s="13" t="str">
        <f t="shared" si="108"/>
        <v/>
      </c>
      <c r="AY96" s="13" t="str">
        <f t="shared" si="108"/>
        <v/>
      </c>
      <c r="AZ96" s="13" t="str">
        <f t="shared" si="108"/>
        <v/>
      </c>
      <c r="BA96" s="13" t="str">
        <f t="shared" si="108"/>
        <v/>
      </c>
      <c r="BB96" s="13" t="str">
        <f t="shared" si="108"/>
        <v/>
      </c>
      <c r="BC96" s="13" t="str">
        <f t="shared" si="108"/>
        <v/>
      </c>
      <c r="BD96" s="13" t="str">
        <f t="shared" si="108"/>
        <v/>
      </c>
      <c r="BE96" s="13" t="str">
        <f t="shared" si="109"/>
        <v/>
      </c>
      <c r="BF96" s="13" t="str">
        <f t="shared" si="109"/>
        <v/>
      </c>
      <c r="BG96" s="13" t="str">
        <f t="shared" si="109"/>
        <v/>
      </c>
      <c r="BH96" s="13" t="str">
        <f t="shared" si="109"/>
        <v/>
      </c>
      <c r="BI96" s="13" t="str">
        <f t="shared" si="109"/>
        <v/>
      </c>
      <c r="BJ96" s="13" t="str">
        <f t="shared" si="109"/>
        <v/>
      </c>
      <c r="BK96" s="13" t="str">
        <f t="shared" si="109"/>
        <v/>
      </c>
      <c r="BL96" s="13" t="str">
        <f t="shared" si="109"/>
        <v/>
      </c>
      <c r="BM96" s="13" t="str">
        <f t="shared" si="109"/>
        <v/>
      </c>
      <c r="BN96" s="13" t="str">
        <f t="shared" si="109"/>
        <v/>
      </c>
      <c r="BO96" s="13" t="str">
        <f t="shared" si="110"/>
        <v/>
      </c>
      <c r="BP96" s="13" t="str">
        <f t="shared" si="110"/>
        <v/>
      </c>
      <c r="BQ96" s="13" t="str">
        <f t="shared" si="110"/>
        <v/>
      </c>
      <c r="BR96" s="13" t="str">
        <f t="shared" si="110"/>
        <v/>
      </c>
      <c r="BS96" s="13" t="str">
        <f t="shared" si="110"/>
        <v/>
      </c>
      <c r="BT96" s="13" t="str">
        <f t="shared" si="110"/>
        <v/>
      </c>
      <c r="BU96" s="13" t="str">
        <f t="shared" si="110"/>
        <v/>
      </c>
      <c r="BV96" s="13" t="str">
        <f t="shared" si="110"/>
        <v/>
      </c>
      <c r="BW96" s="13" t="str">
        <f t="shared" si="110"/>
        <v/>
      </c>
      <c r="BX96" s="13" t="str">
        <f t="shared" si="110"/>
        <v/>
      </c>
      <c r="BY96" s="13" t="str">
        <f t="shared" si="111"/>
        <v/>
      </c>
      <c r="BZ96" s="13" t="str">
        <f t="shared" si="111"/>
        <v/>
      </c>
      <c r="CA96" s="13" t="str">
        <f t="shared" si="111"/>
        <v/>
      </c>
      <c r="CB96" s="13" t="str">
        <f t="shared" si="111"/>
        <v/>
      </c>
      <c r="CC96" s="13" t="str">
        <f t="shared" si="111"/>
        <v/>
      </c>
      <c r="CD96" s="13" t="str">
        <f t="shared" si="111"/>
        <v/>
      </c>
      <c r="CE96" s="13" t="str">
        <f t="shared" si="111"/>
        <v/>
      </c>
      <c r="CF96" s="13" t="str">
        <f t="shared" si="111"/>
        <v/>
      </c>
      <c r="CG96" s="13" t="str">
        <f t="shared" si="111"/>
        <v/>
      </c>
      <c r="CH96" s="13" t="str">
        <f t="shared" si="111"/>
        <v/>
      </c>
      <c r="CI96" s="13" t="str">
        <f t="shared" si="112"/>
        <v/>
      </c>
      <c r="CJ96" s="13" t="str">
        <f t="shared" si="112"/>
        <v/>
      </c>
      <c r="CK96" s="13" t="str">
        <f t="shared" si="112"/>
        <v/>
      </c>
      <c r="CL96" s="13" t="str">
        <f t="shared" si="112"/>
        <v/>
      </c>
      <c r="CM96" s="13" t="str">
        <f t="shared" si="112"/>
        <v/>
      </c>
      <c r="CN96" s="13" t="str">
        <f t="shared" si="112"/>
        <v/>
      </c>
      <c r="CO96" s="13" t="str">
        <f t="shared" si="112"/>
        <v/>
      </c>
      <c r="CP96" s="13" t="str">
        <f t="shared" si="112"/>
        <v/>
      </c>
      <c r="CQ96" s="13" t="str">
        <f t="shared" si="112"/>
        <v/>
      </c>
      <c r="CR96" s="13" t="str">
        <f t="shared" si="112"/>
        <v/>
      </c>
      <c r="CS96" s="13" t="str">
        <f t="shared" si="113"/>
        <v/>
      </c>
      <c r="CT96" s="13" t="str">
        <f t="shared" si="113"/>
        <v/>
      </c>
      <c r="CU96" s="13" t="str">
        <f t="shared" si="113"/>
        <v/>
      </c>
      <c r="CV96" s="13" t="str">
        <f t="shared" si="113"/>
        <v/>
      </c>
      <c r="CW96" s="13" t="str">
        <f t="shared" si="113"/>
        <v/>
      </c>
      <c r="CX96" s="13" t="str">
        <f t="shared" si="113"/>
        <v/>
      </c>
      <c r="CY96" s="13" t="str">
        <f t="shared" si="113"/>
        <v/>
      </c>
      <c r="CZ96" s="13" t="str">
        <f t="shared" si="113"/>
        <v/>
      </c>
      <c r="DA96" s="13" t="str">
        <f t="shared" si="113"/>
        <v/>
      </c>
      <c r="DB96" s="13" t="str">
        <f t="shared" si="113"/>
        <v/>
      </c>
      <c r="DC96" s="13" t="str">
        <f t="shared" si="114"/>
        <v/>
      </c>
      <c r="DD96" s="13" t="str">
        <f t="shared" si="114"/>
        <v/>
      </c>
      <c r="DE96" s="13" t="str">
        <f t="shared" si="114"/>
        <v/>
      </c>
      <c r="DF96" s="13" t="str">
        <f t="shared" si="114"/>
        <v/>
      </c>
      <c r="DG96" s="13" t="str">
        <f t="shared" si="114"/>
        <v/>
      </c>
      <c r="DH96" s="13" t="str">
        <f t="shared" si="114"/>
        <v/>
      </c>
      <c r="DI96" s="13" t="str">
        <f t="shared" si="114"/>
        <v/>
      </c>
      <c r="DJ96" s="13" t="str">
        <f t="shared" si="114"/>
        <v/>
      </c>
      <c r="DK96" s="13" t="str">
        <f t="shared" si="114"/>
        <v/>
      </c>
      <c r="DL96" s="13" t="str">
        <f t="shared" si="114"/>
        <v/>
      </c>
      <c r="DM96" s="13" t="str">
        <f t="shared" si="115"/>
        <v/>
      </c>
      <c r="DN96" s="13" t="str">
        <f t="shared" si="115"/>
        <v/>
      </c>
      <c r="DO96" s="13" t="str">
        <f t="shared" si="115"/>
        <v/>
      </c>
      <c r="DP96" s="13" t="str">
        <f t="shared" si="115"/>
        <v/>
      </c>
      <c r="DQ96" s="13" t="str">
        <f t="shared" si="115"/>
        <v/>
      </c>
      <c r="DR96" s="13" t="str">
        <f t="shared" si="115"/>
        <v/>
      </c>
      <c r="DS96" s="13" t="str">
        <f t="shared" si="115"/>
        <v/>
      </c>
      <c r="DT96" s="13" t="str">
        <f t="shared" si="115"/>
        <v/>
      </c>
      <c r="DU96" s="13" t="str">
        <f t="shared" si="115"/>
        <v/>
      </c>
      <c r="DV96" s="13" t="str">
        <f t="shared" si="115"/>
        <v/>
      </c>
      <c r="DW96" s="13" t="str">
        <f t="shared" si="116"/>
        <v/>
      </c>
      <c r="DX96" s="13" t="str">
        <f t="shared" si="116"/>
        <v/>
      </c>
      <c r="DY96" s="13" t="str">
        <f t="shared" si="116"/>
        <v/>
      </c>
      <c r="DZ96" s="13" t="str">
        <f t="shared" si="116"/>
        <v/>
      </c>
      <c r="EA96" s="13" t="str">
        <f t="shared" si="116"/>
        <v/>
      </c>
      <c r="EB96" s="13" t="str">
        <f t="shared" si="116"/>
        <v/>
      </c>
      <c r="EC96" s="13" t="str">
        <f t="shared" si="116"/>
        <v/>
      </c>
      <c r="ED96" s="13" t="str">
        <f t="shared" si="116"/>
        <v/>
      </c>
      <c r="EE96" s="13" t="str">
        <f t="shared" si="116"/>
        <v/>
      </c>
      <c r="EF96" s="13" t="str">
        <f t="shared" si="116"/>
        <v/>
      </c>
      <c r="EG96" s="13" t="str">
        <f t="shared" si="116"/>
        <v/>
      </c>
      <c r="EH96" s="13" t="str">
        <f t="shared" si="116"/>
        <v/>
      </c>
    </row>
    <row r="97" spans="1:138" ht="13.5" customHeight="1">
      <c r="A97" s="55" t="s">
        <v>177</v>
      </c>
      <c r="B97" s="56" t="s">
        <v>178</v>
      </c>
      <c r="C97" s="57" t="s">
        <v>78</v>
      </c>
      <c r="D97" s="9" t="s">
        <v>79</v>
      </c>
      <c r="E97" s="10">
        <v>46359</v>
      </c>
      <c r="F97" s="10">
        <v>46360</v>
      </c>
      <c r="G97" s="11" t="str">
        <f t="shared" si="104"/>
        <v/>
      </c>
      <c r="H97" s="11" t="str">
        <f t="shared" si="104"/>
        <v/>
      </c>
      <c r="I97" s="11" t="str">
        <f t="shared" si="104"/>
        <v/>
      </c>
      <c r="J97" s="11" t="str">
        <f t="shared" si="104"/>
        <v/>
      </c>
      <c r="K97" s="11" t="str">
        <f t="shared" si="104"/>
        <v/>
      </c>
      <c r="L97" s="11" t="str">
        <f t="shared" si="104"/>
        <v/>
      </c>
      <c r="M97" s="11" t="str">
        <f t="shared" si="104"/>
        <v/>
      </c>
      <c r="N97" s="11" t="str">
        <f t="shared" si="104"/>
        <v/>
      </c>
      <c r="O97" s="11" t="str">
        <f t="shared" si="104"/>
        <v/>
      </c>
      <c r="P97" s="11" t="str">
        <f t="shared" si="104"/>
        <v/>
      </c>
      <c r="Q97" s="11" t="str">
        <f t="shared" si="105"/>
        <v/>
      </c>
      <c r="R97" s="11" t="str">
        <f t="shared" si="105"/>
        <v/>
      </c>
      <c r="S97" s="11" t="str">
        <f t="shared" si="105"/>
        <v/>
      </c>
      <c r="T97" s="11" t="str">
        <f t="shared" si="105"/>
        <v/>
      </c>
      <c r="U97" s="11" t="str">
        <f t="shared" si="105"/>
        <v/>
      </c>
      <c r="V97" s="11" t="str">
        <f t="shared" si="105"/>
        <v/>
      </c>
      <c r="W97" s="11" t="str">
        <f t="shared" si="105"/>
        <v/>
      </c>
      <c r="X97" s="11" t="str">
        <f t="shared" si="105"/>
        <v/>
      </c>
      <c r="Y97" s="11" t="str">
        <f t="shared" si="105"/>
        <v/>
      </c>
      <c r="Z97" s="11" t="str">
        <f t="shared" si="105"/>
        <v/>
      </c>
      <c r="AA97" s="11" t="str">
        <f t="shared" si="106"/>
        <v/>
      </c>
      <c r="AB97" s="11" t="str">
        <f t="shared" si="106"/>
        <v/>
      </c>
      <c r="AC97" s="11" t="str">
        <f t="shared" si="106"/>
        <v/>
      </c>
      <c r="AD97" s="11" t="str">
        <f t="shared" si="106"/>
        <v/>
      </c>
      <c r="AE97" s="11" t="str">
        <f t="shared" si="106"/>
        <v/>
      </c>
      <c r="AF97" s="11" t="str">
        <f t="shared" si="106"/>
        <v/>
      </c>
      <c r="AG97" s="11" t="str">
        <f t="shared" si="106"/>
        <v/>
      </c>
      <c r="AH97" s="11" t="str">
        <f t="shared" si="106"/>
        <v/>
      </c>
      <c r="AI97" s="11" t="str">
        <f t="shared" si="106"/>
        <v/>
      </c>
      <c r="AJ97" s="11" t="str">
        <f t="shared" si="106"/>
        <v/>
      </c>
      <c r="AK97" s="11" t="str">
        <f t="shared" si="107"/>
        <v/>
      </c>
      <c r="AL97" s="11" t="str">
        <f t="shared" si="107"/>
        <v/>
      </c>
      <c r="AM97" s="11" t="str">
        <f t="shared" si="107"/>
        <v/>
      </c>
      <c r="AN97" s="11" t="str">
        <f t="shared" si="107"/>
        <v/>
      </c>
      <c r="AO97" s="11" t="str">
        <f t="shared" si="107"/>
        <v/>
      </c>
      <c r="AP97" s="11" t="str">
        <f t="shared" si="107"/>
        <v/>
      </c>
      <c r="AQ97" s="11" t="str">
        <f t="shared" si="107"/>
        <v/>
      </c>
      <c r="AR97" s="11" t="str">
        <f t="shared" si="107"/>
        <v/>
      </c>
      <c r="AS97" s="11" t="str">
        <f t="shared" si="107"/>
        <v/>
      </c>
      <c r="AT97" s="11" t="str">
        <f t="shared" si="107"/>
        <v/>
      </c>
      <c r="AU97" s="11" t="str">
        <f t="shared" si="108"/>
        <v/>
      </c>
      <c r="AV97" s="11" t="str">
        <f t="shared" si="108"/>
        <v/>
      </c>
      <c r="AW97" s="11" t="str">
        <f t="shared" si="108"/>
        <v/>
      </c>
      <c r="AX97" s="11" t="str">
        <f t="shared" si="108"/>
        <v/>
      </c>
      <c r="AY97" s="11" t="str">
        <f t="shared" si="108"/>
        <v/>
      </c>
      <c r="AZ97" s="11" t="str">
        <f t="shared" si="108"/>
        <v/>
      </c>
      <c r="BA97" s="11" t="str">
        <f t="shared" si="108"/>
        <v/>
      </c>
      <c r="BB97" s="11" t="str">
        <f t="shared" si="108"/>
        <v/>
      </c>
      <c r="BC97" s="11" t="str">
        <f t="shared" si="108"/>
        <v/>
      </c>
      <c r="BD97" s="11" t="str">
        <f t="shared" si="108"/>
        <v/>
      </c>
      <c r="BE97" s="11" t="str">
        <f t="shared" si="109"/>
        <v/>
      </c>
      <c r="BF97" s="11" t="str">
        <f t="shared" si="109"/>
        <v/>
      </c>
      <c r="BG97" s="11" t="str">
        <f t="shared" si="109"/>
        <v/>
      </c>
      <c r="BH97" s="11" t="str">
        <f t="shared" si="109"/>
        <v/>
      </c>
      <c r="BI97" s="11" t="str">
        <f t="shared" si="109"/>
        <v/>
      </c>
      <c r="BJ97" s="11" t="str">
        <f t="shared" si="109"/>
        <v/>
      </c>
      <c r="BK97" s="11" t="str">
        <f t="shared" si="109"/>
        <v/>
      </c>
      <c r="BL97" s="11" t="str">
        <f t="shared" si="109"/>
        <v/>
      </c>
      <c r="BM97" s="11" t="str">
        <f t="shared" si="109"/>
        <v/>
      </c>
      <c r="BN97" s="11" t="str">
        <f t="shared" si="109"/>
        <v/>
      </c>
      <c r="BO97" s="11" t="str">
        <f t="shared" si="110"/>
        <v/>
      </c>
      <c r="BP97" s="11" t="str">
        <f t="shared" si="110"/>
        <v/>
      </c>
      <c r="BQ97" s="11" t="str">
        <f t="shared" si="110"/>
        <v/>
      </c>
      <c r="BR97" s="11" t="str">
        <f t="shared" si="110"/>
        <v/>
      </c>
      <c r="BS97" s="11" t="str">
        <f t="shared" si="110"/>
        <v/>
      </c>
      <c r="BT97" s="11" t="str">
        <f t="shared" si="110"/>
        <v/>
      </c>
      <c r="BU97" s="11" t="str">
        <f t="shared" si="110"/>
        <v/>
      </c>
      <c r="BV97" s="11" t="str">
        <f t="shared" si="110"/>
        <v/>
      </c>
      <c r="BW97" s="11" t="str">
        <f t="shared" si="110"/>
        <v/>
      </c>
      <c r="BX97" s="11" t="str">
        <f t="shared" si="110"/>
        <v/>
      </c>
      <c r="BY97" s="11" t="str">
        <f t="shared" si="111"/>
        <v/>
      </c>
      <c r="BZ97" s="11" t="str">
        <f t="shared" si="111"/>
        <v/>
      </c>
      <c r="CA97" s="11" t="str">
        <f t="shared" si="111"/>
        <v/>
      </c>
      <c r="CB97" s="11" t="str">
        <f t="shared" si="111"/>
        <v/>
      </c>
      <c r="CC97" s="11" t="str">
        <f t="shared" si="111"/>
        <v/>
      </c>
      <c r="CD97" s="11" t="str">
        <f t="shared" si="111"/>
        <v/>
      </c>
      <c r="CE97" s="11" t="str">
        <f t="shared" si="111"/>
        <v/>
      </c>
      <c r="CF97" s="11" t="str">
        <f t="shared" si="111"/>
        <v/>
      </c>
      <c r="CG97" s="11" t="str">
        <f t="shared" si="111"/>
        <v/>
      </c>
      <c r="CH97" s="11" t="str">
        <f t="shared" si="111"/>
        <v/>
      </c>
      <c r="CI97" s="11" t="str">
        <f t="shared" si="112"/>
        <v/>
      </c>
      <c r="CJ97" s="11" t="str">
        <f t="shared" si="112"/>
        <v/>
      </c>
      <c r="CK97" s="11" t="str">
        <f t="shared" si="112"/>
        <v/>
      </c>
      <c r="CL97" s="11" t="str">
        <f t="shared" si="112"/>
        <v/>
      </c>
      <c r="CM97" s="11" t="str">
        <f t="shared" si="112"/>
        <v/>
      </c>
      <c r="CN97" s="11" t="str">
        <f t="shared" si="112"/>
        <v/>
      </c>
      <c r="CO97" s="11" t="str">
        <f t="shared" si="112"/>
        <v/>
      </c>
      <c r="CP97" s="11" t="str">
        <f t="shared" si="112"/>
        <v/>
      </c>
      <c r="CQ97" s="11" t="str">
        <f t="shared" si="112"/>
        <v/>
      </c>
      <c r="CR97" s="11" t="str">
        <f t="shared" si="112"/>
        <v/>
      </c>
      <c r="CS97" s="11" t="str">
        <f t="shared" si="113"/>
        <v/>
      </c>
      <c r="CT97" s="11" t="str">
        <f t="shared" si="113"/>
        <v/>
      </c>
      <c r="CU97" s="11" t="str">
        <f t="shared" si="113"/>
        <v/>
      </c>
      <c r="CV97" s="11" t="str">
        <f t="shared" si="113"/>
        <v/>
      </c>
      <c r="CW97" s="11" t="str">
        <f t="shared" si="113"/>
        <v/>
      </c>
      <c r="CX97" s="11" t="str">
        <f t="shared" si="113"/>
        <v/>
      </c>
      <c r="CY97" s="11" t="str">
        <f t="shared" si="113"/>
        <v/>
      </c>
      <c r="CZ97" s="11" t="str">
        <f t="shared" si="113"/>
        <v/>
      </c>
      <c r="DA97" s="11" t="str">
        <f t="shared" si="113"/>
        <v/>
      </c>
      <c r="DB97" s="11" t="str">
        <f t="shared" si="113"/>
        <v/>
      </c>
      <c r="DC97" s="11" t="str">
        <f t="shared" si="114"/>
        <v/>
      </c>
      <c r="DD97" s="11" t="str">
        <f t="shared" si="114"/>
        <v/>
      </c>
      <c r="DE97" s="11" t="str">
        <f t="shared" si="114"/>
        <v/>
      </c>
      <c r="DF97" s="11" t="str">
        <f t="shared" si="114"/>
        <v/>
      </c>
      <c r="DG97" s="11" t="str">
        <f t="shared" si="114"/>
        <v/>
      </c>
      <c r="DH97" s="11" t="str">
        <f t="shared" si="114"/>
        <v/>
      </c>
      <c r="DI97" s="11" t="str">
        <f t="shared" si="114"/>
        <v/>
      </c>
      <c r="DJ97" s="11" t="str">
        <f t="shared" si="114"/>
        <v/>
      </c>
      <c r="DK97" s="11" t="str">
        <f t="shared" si="114"/>
        <v/>
      </c>
      <c r="DL97" s="11" t="str">
        <f t="shared" si="114"/>
        <v/>
      </c>
      <c r="DM97" s="11" t="str">
        <f t="shared" si="115"/>
        <v/>
      </c>
      <c r="DN97" s="11" t="str">
        <f t="shared" si="115"/>
        <v/>
      </c>
      <c r="DO97" s="11" t="str">
        <f t="shared" si="115"/>
        <v/>
      </c>
      <c r="DP97" s="11" t="str">
        <f t="shared" si="115"/>
        <v/>
      </c>
      <c r="DQ97" s="11" t="str">
        <f t="shared" si="115"/>
        <v/>
      </c>
      <c r="DR97" s="11" t="str">
        <f t="shared" si="115"/>
        <v/>
      </c>
      <c r="DS97" s="11" t="str">
        <f t="shared" si="115"/>
        <v/>
      </c>
      <c r="DT97" s="11" t="str">
        <f t="shared" si="115"/>
        <v/>
      </c>
      <c r="DU97" s="11" t="str">
        <f t="shared" si="115"/>
        <v/>
      </c>
      <c r="DV97" s="11" t="str">
        <f t="shared" si="115"/>
        <v/>
      </c>
      <c r="DW97" s="11" t="str">
        <f t="shared" si="116"/>
        <v/>
      </c>
      <c r="DX97" s="11" t="str">
        <f t="shared" si="116"/>
        <v/>
      </c>
      <c r="DY97" s="11" t="str">
        <f t="shared" si="116"/>
        <v/>
      </c>
      <c r="DZ97" s="11" t="str">
        <f t="shared" si="116"/>
        <v/>
      </c>
      <c r="EA97" s="11" t="str">
        <f t="shared" si="116"/>
        <v>▪</v>
      </c>
      <c r="EB97" s="11" t="str">
        <f t="shared" si="116"/>
        <v>▪</v>
      </c>
      <c r="EC97" s="11" t="str">
        <f t="shared" si="116"/>
        <v/>
      </c>
      <c r="ED97" s="11" t="str">
        <f t="shared" si="116"/>
        <v/>
      </c>
      <c r="EE97" s="11" t="str">
        <f t="shared" si="116"/>
        <v/>
      </c>
      <c r="EF97" s="11" t="str">
        <f t="shared" si="116"/>
        <v/>
      </c>
      <c r="EG97" s="11" t="str">
        <f t="shared" si="116"/>
        <v/>
      </c>
      <c r="EH97" s="11" t="str">
        <f t="shared" si="116"/>
        <v/>
      </c>
    </row>
    <row r="98" spans="1:138" ht="13.5" customHeight="1">
      <c r="A98" s="55"/>
      <c r="B98" s="55"/>
      <c r="C98" s="55"/>
      <c r="D98" s="12" t="s">
        <v>80</v>
      </c>
      <c r="E98" s="10"/>
      <c r="F98" s="10"/>
      <c r="G98" s="13" t="str">
        <f t="shared" si="104"/>
        <v/>
      </c>
      <c r="H98" s="13" t="str">
        <f t="shared" si="104"/>
        <v/>
      </c>
      <c r="I98" s="13" t="str">
        <f t="shared" si="104"/>
        <v/>
      </c>
      <c r="J98" s="13" t="str">
        <f t="shared" si="104"/>
        <v/>
      </c>
      <c r="K98" s="13" t="str">
        <f t="shared" si="104"/>
        <v/>
      </c>
      <c r="L98" s="13" t="str">
        <f t="shared" si="104"/>
        <v/>
      </c>
      <c r="M98" s="13" t="str">
        <f t="shared" si="104"/>
        <v/>
      </c>
      <c r="N98" s="13" t="str">
        <f t="shared" si="104"/>
        <v/>
      </c>
      <c r="O98" s="13" t="str">
        <f t="shared" si="104"/>
        <v/>
      </c>
      <c r="P98" s="13" t="str">
        <f t="shared" si="104"/>
        <v/>
      </c>
      <c r="Q98" s="13" t="str">
        <f t="shared" si="105"/>
        <v/>
      </c>
      <c r="R98" s="13" t="str">
        <f t="shared" si="105"/>
        <v/>
      </c>
      <c r="S98" s="13" t="str">
        <f t="shared" si="105"/>
        <v/>
      </c>
      <c r="T98" s="13" t="str">
        <f t="shared" si="105"/>
        <v/>
      </c>
      <c r="U98" s="13" t="str">
        <f t="shared" si="105"/>
        <v/>
      </c>
      <c r="V98" s="13" t="str">
        <f t="shared" si="105"/>
        <v/>
      </c>
      <c r="W98" s="13" t="str">
        <f t="shared" si="105"/>
        <v/>
      </c>
      <c r="X98" s="13" t="str">
        <f t="shared" si="105"/>
        <v/>
      </c>
      <c r="Y98" s="13" t="str">
        <f t="shared" si="105"/>
        <v/>
      </c>
      <c r="Z98" s="13" t="str">
        <f t="shared" si="105"/>
        <v/>
      </c>
      <c r="AA98" s="13" t="str">
        <f t="shared" si="106"/>
        <v/>
      </c>
      <c r="AB98" s="13" t="str">
        <f t="shared" si="106"/>
        <v/>
      </c>
      <c r="AC98" s="13" t="str">
        <f t="shared" si="106"/>
        <v/>
      </c>
      <c r="AD98" s="13" t="str">
        <f t="shared" si="106"/>
        <v/>
      </c>
      <c r="AE98" s="13" t="str">
        <f t="shared" si="106"/>
        <v/>
      </c>
      <c r="AF98" s="13" t="str">
        <f t="shared" si="106"/>
        <v/>
      </c>
      <c r="AG98" s="13" t="str">
        <f t="shared" si="106"/>
        <v/>
      </c>
      <c r="AH98" s="13" t="str">
        <f t="shared" si="106"/>
        <v/>
      </c>
      <c r="AI98" s="13" t="str">
        <f t="shared" si="106"/>
        <v/>
      </c>
      <c r="AJ98" s="13" t="str">
        <f t="shared" si="106"/>
        <v/>
      </c>
      <c r="AK98" s="13" t="str">
        <f t="shared" si="107"/>
        <v/>
      </c>
      <c r="AL98" s="13" t="str">
        <f t="shared" si="107"/>
        <v/>
      </c>
      <c r="AM98" s="13" t="str">
        <f t="shared" si="107"/>
        <v/>
      </c>
      <c r="AN98" s="13" t="str">
        <f t="shared" si="107"/>
        <v/>
      </c>
      <c r="AO98" s="13" t="str">
        <f t="shared" si="107"/>
        <v/>
      </c>
      <c r="AP98" s="13" t="str">
        <f t="shared" si="107"/>
        <v/>
      </c>
      <c r="AQ98" s="13" t="str">
        <f t="shared" si="107"/>
        <v/>
      </c>
      <c r="AR98" s="13" t="str">
        <f t="shared" si="107"/>
        <v/>
      </c>
      <c r="AS98" s="13" t="str">
        <f t="shared" si="107"/>
        <v/>
      </c>
      <c r="AT98" s="13" t="str">
        <f t="shared" si="107"/>
        <v/>
      </c>
      <c r="AU98" s="13" t="str">
        <f t="shared" si="108"/>
        <v/>
      </c>
      <c r="AV98" s="13" t="str">
        <f t="shared" si="108"/>
        <v/>
      </c>
      <c r="AW98" s="13" t="str">
        <f t="shared" si="108"/>
        <v/>
      </c>
      <c r="AX98" s="13" t="str">
        <f t="shared" si="108"/>
        <v/>
      </c>
      <c r="AY98" s="13" t="str">
        <f t="shared" si="108"/>
        <v/>
      </c>
      <c r="AZ98" s="13" t="str">
        <f t="shared" si="108"/>
        <v/>
      </c>
      <c r="BA98" s="13" t="str">
        <f t="shared" si="108"/>
        <v/>
      </c>
      <c r="BB98" s="13" t="str">
        <f t="shared" si="108"/>
        <v/>
      </c>
      <c r="BC98" s="13" t="str">
        <f t="shared" si="108"/>
        <v/>
      </c>
      <c r="BD98" s="13" t="str">
        <f t="shared" si="108"/>
        <v/>
      </c>
      <c r="BE98" s="13" t="str">
        <f t="shared" si="109"/>
        <v/>
      </c>
      <c r="BF98" s="13" t="str">
        <f t="shared" si="109"/>
        <v/>
      </c>
      <c r="BG98" s="13" t="str">
        <f t="shared" si="109"/>
        <v/>
      </c>
      <c r="BH98" s="13" t="str">
        <f t="shared" si="109"/>
        <v/>
      </c>
      <c r="BI98" s="13" t="str">
        <f t="shared" si="109"/>
        <v/>
      </c>
      <c r="BJ98" s="13" t="str">
        <f t="shared" si="109"/>
        <v/>
      </c>
      <c r="BK98" s="13" t="str">
        <f t="shared" si="109"/>
        <v/>
      </c>
      <c r="BL98" s="13" t="str">
        <f t="shared" si="109"/>
        <v/>
      </c>
      <c r="BM98" s="13" t="str">
        <f t="shared" si="109"/>
        <v/>
      </c>
      <c r="BN98" s="13" t="str">
        <f t="shared" si="109"/>
        <v/>
      </c>
      <c r="BO98" s="13" t="str">
        <f t="shared" si="110"/>
        <v/>
      </c>
      <c r="BP98" s="13" t="str">
        <f t="shared" si="110"/>
        <v/>
      </c>
      <c r="BQ98" s="13" t="str">
        <f t="shared" si="110"/>
        <v/>
      </c>
      <c r="BR98" s="13" t="str">
        <f t="shared" si="110"/>
        <v/>
      </c>
      <c r="BS98" s="13" t="str">
        <f t="shared" si="110"/>
        <v/>
      </c>
      <c r="BT98" s="13" t="str">
        <f t="shared" si="110"/>
        <v/>
      </c>
      <c r="BU98" s="13" t="str">
        <f t="shared" si="110"/>
        <v/>
      </c>
      <c r="BV98" s="13" t="str">
        <f t="shared" si="110"/>
        <v/>
      </c>
      <c r="BW98" s="13" t="str">
        <f t="shared" si="110"/>
        <v/>
      </c>
      <c r="BX98" s="13" t="str">
        <f t="shared" si="110"/>
        <v/>
      </c>
      <c r="BY98" s="13" t="str">
        <f t="shared" si="111"/>
        <v/>
      </c>
      <c r="BZ98" s="13" t="str">
        <f t="shared" si="111"/>
        <v/>
      </c>
      <c r="CA98" s="13" t="str">
        <f t="shared" si="111"/>
        <v/>
      </c>
      <c r="CB98" s="13" t="str">
        <f t="shared" si="111"/>
        <v/>
      </c>
      <c r="CC98" s="13" t="str">
        <f t="shared" si="111"/>
        <v/>
      </c>
      <c r="CD98" s="13" t="str">
        <f t="shared" si="111"/>
        <v/>
      </c>
      <c r="CE98" s="13" t="str">
        <f t="shared" si="111"/>
        <v/>
      </c>
      <c r="CF98" s="13" t="str">
        <f t="shared" si="111"/>
        <v/>
      </c>
      <c r="CG98" s="13" t="str">
        <f t="shared" si="111"/>
        <v/>
      </c>
      <c r="CH98" s="13" t="str">
        <f t="shared" si="111"/>
        <v/>
      </c>
      <c r="CI98" s="13" t="str">
        <f t="shared" si="112"/>
        <v/>
      </c>
      <c r="CJ98" s="13" t="str">
        <f t="shared" si="112"/>
        <v/>
      </c>
      <c r="CK98" s="13" t="str">
        <f t="shared" si="112"/>
        <v/>
      </c>
      <c r="CL98" s="13" t="str">
        <f t="shared" si="112"/>
        <v/>
      </c>
      <c r="CM98" s="13" t="str">
        <f t="shared" si="112"/>
        <v/>
      </c>
      <c r="CN98" s="13" t="str">
        <f t="shared" si="112"/>
        <v/>
      </c>
      <c r="CO98" s="13" t="str">
        <f t="shared" si="112"/>
        <v/>
      </c>
      <c r="CP98" s="13" t="str">
        <f t="shared" si="112"/>
        <v/>
      </c>
      <c r="CQ98" s="13" t="str">
        <f t="shared" si="112"/>
        <v/>
      </c>
      <c r="CR98" s="13" t="str">
        <f t="shared" si="112"/>
        <v/>
      </c>
      <c r="CS98" s="13" t="str">
        <f t="shared" si="113"/>
        <v/>
      </c>
      <c r="CT98" s="13" t="str">
        <f t="shared" si="113"/>
        <v/>
      </c>
      <c r="CU98" s="13" t="str">
        <f t="shared" si="113"/>
        <v/>
      </c>
      <c r="CV98" s="13" t="str">
        <f t="shared" si="113"/>
        <v/>
      </c>
      <c r="CW98" s="13" t="str">
        <f t="shared" si="113"/>
        <v/>
      </c>
      <c r="CX98" s="13" t="str">
        <f t="shared" si="113"/>
        <v/>
      </c>
      <c r="CY98" s="13" t="str">
        <f t="shared" si="113"/>
        <v/>
      </c>
      <c r="CZ98" s="13" t="str">
        <f t="shared" si="113"/>
        <v/>
      </c>
      <c r="DA98" s="13" t="str">
        <f t="shared" si="113"/>
        <v/>
      </c>
      <c r="DB98" s="13" t="str">
        <f t="shared" si="113"/>
        <v/>
      </c>
      <c r="DC98" s="13" t="str">
        <f t="shared" si="114"/>
        <v/>
      </c>
      <c r="DD98" s="13" t="str">
        <f t="shared" si="114"/>
        <v/>
      </c>
      <c r="DE98" s="13" t="str">
        <f t="shared" si="114"/>
        <v/>
      </c>
      <c r="DF98" s="13" t="str">
        <f t="shared" si="114"/>
        <v/>
      </c>
      <c r="DG98" s="13" t="str">
        <f t="shared" si="114"/>
        <v/>
      </c>
      <c r="DH98" s="13" t="str">
        <f t="shared" si="114"/>
        <v/>
      </c>
      <c r="DI98" s="13" t="str">
        <f t="shared" si="114"/>
        <v/>
      </c>
      <c r="DJ98" s="13" t="str">
        <f t="shared" si="114"/>
        <v/>
      </c>
      <c r="DK98" s="13" t="str">
        <f t="shared" si="114"/>
        <v/>
      </c>
      <c r="DL98" s="13" t="str">
        <f t="shared" si="114"/>
        <v/>
      </c>
      <c r="DM98" s="13" t="str">
        <f t="shared" si="115"/>
        <v/>
      </c>
      <c r="DN98" s="13" t="str">
        <f t="shared" si="115"/>
        <v/>
      </c>
      <c r="DO98" s="13" t="str">
        <f t="shared" si="115"/>
        <v/>
      </c>
      <c r="DP98" s="13" t="str">
        <f t="shared" si="115"/>
        <v/>
      </c>
      <c r="DQ98" s="13" t="str">
        <f t="shared" si="115"/>
        <v/>
      </c>
      <c r="DR98" s="13" t="str">
        <f t="shared" si="115"/>
        <v/>
      </c>
      <c r="DS98" s="13" t="str">
        <f t="shared" si="115"/>
        <v/>
      </c>
      <c r="DT98" s="13" t="str">
        <f t="shared" si="115"/>
        <v/>
      </c>
      <c r="DU98" s="13" t="str">
        <f t="shared" si="115"/>
        <v/>
      </c>
      <c r="DV98" s="13" t="str">
        <f t="shared" si="115"/>
        <v/>
      </c>
      <c r="DW98" s="13" t="str">
        <f t="shared" si="116"/>
        <v/>
      </c>
      <c r="DX98" s="13" t="str">
        <f t="shared" si="116"/>
        <v/>
      </c>
      <c r="DY98" s="13" t="str">
        <f t="shared" si="116"/>
        <v/>
      </c>
      <c r="DZ98" s="13" t="str">
        <f t="shared" si="116"/>
        <v/>
      </c>
      <c r="EA98" s="13" t="str">
        <f t="shared" si="116"/>
        <v/>
      </c>
      <c r="EB98" s="13" t="str">
        <f t="shared" si="116"/>
        <v/>
      </c>
      <c r="EC98" s="13" t="str">
        <f t="shared" si="116"/>
        <v/>
      </c>
      <c r="ED98" s="13" t="str">
        <f t="shared" si="116"/>
        <v/>
      </c>
      <c r="EE98" s="13" t="str">
        <f t="shared" si="116"/>
        <v/>
      </c>
      <c r="EF98" s="13" t="str">
        <f t="shared" si="116"/>
        <v/>
      </c>
      <c r="EG98" s="13" t="str">
        <f t="shared" si="116"/>
        <v/>
      </c>
      <c r="EH98" s="13" t="str">
        <f t="shared" si="116"/>
        <v/>
      </c>
    </row>
    <row r="99" spans="1:138" ht="15.75" customHeight="1">
      <c r="A99" s="54" t="s">
        <v>179</v>
      </c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  <c r="DO99" s="54"/>
      <c r="DP99" s="54"/>
      <c r="DQ99" s="54"/>
      <c r="DR99" s="54"/>
      <c r="DS99" s="54"/>
      <c r="DT99" s="54"/>
      <c r="DU99" s="54"/>
      <c r="DV99" s="54"/>
      <c r="DW99" s="54"/>
      <c r="DX99" s="54"/>
      <c r="DY99" s="54"/>
      <c r="DZ99" s="54"/>
      <c r="EA99" s="54"/>
      <c r="EB99" s="54"/>
      <c r="EC99" s="54"/>
      <c r="ED99" s="54"/>
      <c r="EE99" s="54"/>
      <c r="EF99" s="54"/>
      <c r="EG99" s="54"/>
      <c r="EH99" s="54"/>
    </row>
    <row r="100" spans="1:138" ht="13.5" customHeight="1">
      <c r="A100" s="55" t="s">
        <v>180</v>
      </c>
      <c r="B100" s="56" t="s">
        <v>181</v>
      </c>
      <c r="C100" s="57" t="s">
        <v>86</v>
      </c>
      <c r="D100" s="9" t="s">
        <v>79</v>
      </c>
      <c r="E100" s="10">
        <v>46360</v>
      </c>
      <c r="F100" s="10">
        <v>46360</v>
      </c>
      <c r="G100" s="11" t="str">
        <f t="shared" ref="G100:P105" si="117">IF(AND($E100&lt;&gt;"",$F100&lt;&gt;"",$E100&lt;=G$3,$F100&gt;=G$3),"▪","")</f>
        <v/>
      </c>
      <c r="H100" s="11" t="str">
        <f t="shared" si="117"/>
        <v/>
      </c>
      <c r="I100" s="11" t="str">
        <f t="shared" si="117"/>
        <v/>
      </c>
      <c r="J100" s="11" t="str">
        <f t="shared" si="117"/>
        <v/>
      </c>
      <c r="K100" s="11" t="str">
        <f t="shared" si="117"/>
        <v/>
      </c>
      <c r="L100" s="11" t="str">
        <f t="shared" si="117"/>
        <v/>
      </c>
      <c r="M100" s="11" t="str">
        <f t="shared" si="117"/>
        <v/>
      </c>
      <c r="N100" s="11" t="str">
        <f t="shared" si="117"/>
        <v/>
      </c>
      <c r="O100" s="11" t="str">
        <f t="shared" si="117"/>
        <v/>
      </c>
      <c r="P100" s="11" t="str">
        <f t="shared" si="117"/>
        <v/>
      </c>
      <c r="Q100" s="11" t="str">
        <f t="shared" ref="Q100:Z105" si="118">IF(AND($E100&lt;&gt;"",$F100&lt;&gt;"",$E100&lt;=Q$3,$F100&gt;=Q$3),"▪","")</f>
        <v/>
      </c>
      <c r="R100" s="11" t="str">
        <f t="shared" si="118"/>
        <v/>
      </c>
      <c r="S100" s="11" t="str">
        <f t="shared" si="118"/>
        <v/>
      </c>
      <c r="T100" s="11" t="str">
        <f t="shared" si="118"/>
        <v/>
      </c>
      <c r="U100" s="11" t="str">
        <f t="shared" si="118"/>
        <v/>
      </c>
      <c r="V100" s="11" t="str">
        <f t="shared" si="118"/>
        <v/>
      </c>
      <c r="W100" s="11" t="str">
        <f t="shared" si="118"/>
        <v/>
      </c>
      <c r="X100" s="11" t="str">
        <f t="shared" si="118"/>
        <v/>
      </c>
      <c r="Y100" s="11" t="str">
        <f t="shared" si="118"/>
        <v/>
      </c>
      <c r="Z100" s="11" t="str">
        <f t="shared" si="118"/>
        <v/>
      </c>
      <c r="AA100" s="11" t="str">
        <f t="shared" ref="AA100:AJ105" si="119">IF(AND($E100&lt;&gt;"",$F100&lt;&gt;"",$E100&lt;=AA$3,$F100&gt;=AA$3),"▪","")</f>
        <v/>
      </c>
      <c r="AB100" s="11" t="str">
        <f t="shared" si="119"/>
        <v/>
      </c>
      <c r="AC100" s="11" t="str">
        <f t="shared" si="119"/>
        <v/>
      </c>
      <c r="AD100" s="11" t="str">
        <f t="shared" si="119"/>
        <v/>
      </c>
      <c r="AE100" s="11" t="str">
        <f t="shared" si="119"/>
        <v/>
      </c>
      <c r="AF100" s="11" t="str">
        <f t="shared" si="119"/>
        <v/>
      </c>
      <c r="AG100" s="11" t="str">
        <f t="shared" si="119"/>
        <v/>
      </c>
      <c r="AH100" s="11" t="str">
        <f t="shared" si="119"/>
        <v/>
      </c>
      <c r="AI100" s="11" t="str">
        <f t="shared" si="119"/>
        <v/>
      </c>
      <c r="AJ100" s="11" t="str">
        <f t="shared" si="119"/>
        <v/>
      </c>
      <c r="AK100" s="11" t="str">
        <f t="shared" ref="AK100:AT105" si="120">IF(AND($E100&lt;&gt;"",$F100&lt;&gt;"",$E100&lt;=AK$3,$F100&gt;=AK$3),"▪","")</f>
        <v/>
      </c>
      <c r="AL100" s="11" t="str">
        <f t="shared" si="120"/>
        <v/>
      </c>
      <c r="AM100" s="11" t="str">
        <f t="shared" si="120"/>
        <v/>
      </c>
      <c r="AN100" s="11" t="str">
        <f t="shared" si="120"/>
        <v/>
      </c>
      <c r="AO100" s="11" t="str">
        <f t="shared" si="120"/>
        <v/>
      </c>
      <c r="AP100" s="11" t="str">
        <f t="shared" si="120"/>
        <v/>
      </c>
      <c r="AQ100" s="11" t="str">
        <f t="shared" si="120"/>
        <v/>
      </c>
      <c r="AR100" s="11" t="str">
        <f t="shared" si="120"/>
        <v/>
      </c>
      <c r="AS100" s="11" t="str">
        <f t="shared" si="120"/>
        <v/>
      </c>
      <c r="AT100" s="11" t="str">
        <f t="shared" si="120"/>
        <v/>
      </c>
      <c r="AU100" s="11" t="str">
        <f t="shared" ref="AU100:BD105" si="121">IF(AND($E100&lt;&gt;"",$F100&lt;&gt;"",$E100&lt;=AU$3,$F100&gt;=AU$3),"▪","")</f>
        <v/>
      </c>
      <c r="AV100" s="11" t="str">
        <f t="shared" si="121"/>
        <v/>
      </c>
      <c r="AW100" s="11" t="str">
        <f t="shared" si="121"/>
        <v/>
      </c>
      <c r="AX100" s="11" t="str">
        <f t="shared" si="121"/>
        <v/>
      </c>
      <c r="AY100" s="11" t="str">
        <f t="shared" si="121"/>
        <v/>
      </c>
      <c r="AZ100" s="11" t="str">
        <f t="shared" si="121"/>
        <v/>
      </c>
      <c r="BA100" s="11" t="str">
        <f t="shared" si="121"/>
        <v/>
      </c>
      <c r="BB100" s="11" t="str">
        <f t="shared" si="121"/>
        <v/>
      </c>
      <c r="BC100" s="11" t="str">
        <f t="shared" si="121"/>
        <v/>
      </c>
      <c r="BD100" s="11" t="str">
        <f t="shared" si="121"/>
        <v/>
      </c>
      <c r="BE100" s="11" t="str">
        <f t="shared" ref="BE100:BN105" si="122">IF(AND($E100&lt;&gt;"",$F100&lt;&gt;"",$E100&lt;=BE$3,$F100&gt;=BE$3),"▪","")</f>
        <v/>
      </c>
      <c r="BF100" s="11" t="str">
        <f t="shared" si="122"/>
        <v/>
      </c>
      <c r="BG100" s="11" t="str">
        <f t="shared" si="122"/>
        <v/>
      </c>
      <c r="BH100" s="11" t="str">
        <f t="shared" si="122"/>
        <v/>
      </c>
      <c r="BI100" s="11" t="str">
        <f t="shared" si="122"/>
        <v/>
      </c>
      <c r="BJ100" s="11" t="str">
        <f t="shared" si="122"/>
        <v/>
      </c>
      <c r="BK100" s="11" t="str">
        <f t="shared" si="122"/>
        <v/>
      </c>
      <c r="BL100" s="11" t="str">
        <f t="shared" si="122"/>
        <v/>
      </c>
      <c r="BM100" s="11" t="str">
        <f t="shared" si="122"/>
        <v/>
      </c>
      <c r="BN100" s="11" t="str">
        <f t="shared" si="122"/>
        <v/>
      </c>
      <c r="BO100" s="11" t="str">
        <f t="shared" ref="BO100:BX105" si="123">IF(AND($E100&lt;&gt;"",$F100&lt;&gt;"",$E100&lt;=BO$3,$F100&gt;=BO$3),"▪","")</f>
        <v/>
      </c>
      <c r="BP100" s="11" t="str">
        <f t="shared" si="123"/>
        <v/>
      </c>
      <c r="BQ100" s="11" t="str">
        <f t="shared" si="123"/>
        <v/>
      </c>
      <c r="BR100" s="11" t="str">
        <f t="shared" si="123"/>
        <v/>
      </c>
      <c r="BS100" s="11" t="str">
        <f t="shared" si="123"/>
        <v/>
      </c>
      <c r="BT100" s="11" t="str">
        <f t="shared" si="123"/>
        <v/>
      </c>
      <c r="BU100" s="11" t="str">
        <f t="shared" si="123"/>
        <v/>
      </c>
      <c r="BV100" s="11" t="str">
        <f t="shared" si="123"/>
        <v/>
      </c>
      <c r="BW100" s="11" t="str">
        <f t="shared" si="123"/>
        <v/>
      </c>
      <c r="BX100" s="11" t="str">
        <f t="shared" si="123"/>
        <v/>
      </c>
      <c r="BY100" s="11" t="str">
        <f t="shared" ref="BY100:CH105" si="124">IF(AND($E100&lt;&gt;"",$F100&lt;&gt;"",$E100&lt;=BY$3,$F100&gt;=BY$3),"▪","")</f>
        <v/>
      </c>
      <c r="BZ100" s="11" t="str">
        <f t="shared" si="124"/>
        <v/>
      </c>
      <c r="CA100" s="11" t="str">
        <f t="shared" si="124"/>
        <v/>
      </c>
      <c r="CB100" s="11" t="str">
        <f t="shared" si="124"/>
        <v/>
      </c>
      <c r="CC100" s="11" t="str">
        <f t="shared" si="124"/>
        <v/>
      </c>
      <c r="CD100" s="11" t="str">
        <f t="shared" si="124"/>
        <v/>
      </c>
      <c r="CE100" s="11" t="str">
        <f t="shared" si="124"/>
        <v/>
      </c>
      <c r="CF100" s="11" t="str">
        <f t="shared" si="124"/>
        <v/>
      </c>
      <c r="CG100" s="11" t="str">
        <f t="shared" si="124"/>
        <v/>
      </c>
      <c r="CH100" s="11" t="str">
        <f t="shared" si="124"/>
        <v/>
      </c>
      <c r="CI100" s="11" t="str">
        <f t="shared" ref="CI100:CR105" si="125">IF(AND($E100&lt;&gt;"",$F100&lt;&gt;"",$E100&lt;=CI$3,$F100&gt;=CI$3),"▪","")</f>
        <v/>
      </c>
      <c r="CJ100" s="11" t="str">
        <f t="shared" si="125"/>
        <v/>
      </c>
      <c r="CK100" s="11" t="str">
        <f t="shared" si="125"/>
        <v/>
      </c>
      <c r="CL100" s="11" t="str">
        <f t="shared" si="125"/>
        <v/>
      </c>
      <c r="CM100" s="11" t="str">
        <f t="shared" si="125"/>
        <v/>
      </c>
      <c r="CN100" s="11" t="str">
        <f t="shared" si="125"/>
        <v/>
      </c>
      <c r="CO100" s="11" t="str">
        <f t="shared" si="125"/>
        <v/>
      </c>
      <c r="CP100" s="11" t="str">
        <f t="shared" si="125"/>
        <v/>
      </c>
      <c r="CQ100" s="11" t="str">
        <f t="shared" si="125"/>
        <v/>
      </c>
      <c r="CR100" s="11" t="str">
        <f t="shared" si="125"/>
        <v/>
      </c>
      <c r="CS100" s="11" t="str">
        <f t="shared" ref="CS100:DB105" si="126">IF(AND($E100&lt;&gt;"",$F100&lt;&gt;"",$E100&lt;=CS$3,$F100&gt;=CS$3),"▪","")</f>
        <v/>
      </c>
      <c r="CT100" s="11" t="str">
        <f t="shared" si="126"/>
        <v/>
      </c>
      <c r="CU100" s="11" t="str">
        <f t="shared" si="126"/>
        <v/>
      </c>
      <c r="CV100" s="11" t="str">
        <f t="shared" si="126"/>
        <v/>
      </c>
      <c r="CW100" s="11" t="str">
        <f t="shared" si="126"/>
        <v/>
      </c>
      <c r="CX100" s="11" t="str">
        <f t="shared" si="126"/>
        <v/>
      </c>
      <c r="CY100" s="11" t="str">
        <f t="shared" si="126"/>
        <v/>
      </c>
      <c r="CZ100" s="11" t="str">
        <f t="shared" si="126"/>
        <v/>
      </c>
      <c r="DA100" s="11" t="str">
        <f t="shared" si="126"/>
        <v/>
      </c>
      <c r="DB100" s="11" t="str">
        <f t="shared" si="126"/>
        <v/>
      </c>
      <c r="DC100" s="11" t="str">
        <f t="shared" ref="DC100:DL105" si="127">IF(AND($E100&lt;&gt;"",$F100&lt;&gt;"",$E100&lt;=DC$3,$F100&gt;=DC$3),"▪","")</f>
        <v/>
      </c>
      <c r="DD100" s="11" t="str">
        <f t="shared" si="127"/>
        <v/>
      </c>
      <c r="DE100" s="11" t="str">
        <f t="shared" si="127"/>
        <v/>
      </c>
      <c r="DF100" s="11" t="str">
        <f t="shared" si="127"/>
        <v/>
      </c>
      <c r="DG100" s="11" t="str">
        <f t="shared" si="127"/>
        <v/>
      </c>
      <c r="DH100" s="11" t="str">
        <f t="shared" si="127"/>
        <v/>
      </c>
      <c r="DI100" s="11" t="str">
        <f t="shared" si="127"/>
        <v/>
      </c>
      <c r="DJ100" s="11" t="str">
        <f t="shared" si="127"/>
        <v/>
      </c>
      <c r="DK100" s="11" t="str">
        <f t="shared" si="127"/>
        <v/>
      </c>
      <c r="DL100" s="11" t="str">
        <f t="shared" si="127"/>
        <v/>
      </c>
      <c r="DM100" s="11" t="str">
        <f t="shared" ref="DM100:DV105" si="128">IF(AND($E100&lt;&gt;"",$F100&lt;&gt;"",$E100&lt;=DM$3,$F100&gt;=DM$3),"▪","")</f>
        <v/>
      </c>
      <c r="DN100" s="11" t="str">
        <f t="shared" si="128"/>
        <v/>
      </c>
      <c r="DO100" s="11" t="str">
        <f t="shared" si="128"/>
        <v/>
      </c>
      <c r="DP100" s="11" t="str">
        <f t="shared" si="128"/>
        <v/>
      </c>
      <c r="DQ100" s="11" t="str">
        <f t="shared" si="128"/>
        <v/>
      </c>
      <c r="DR100" s="11" t="str">
        <f t="shared" si="128"/>
        <v/>
      </c>
      <c r="DS100" s="11" t="str">
        <f t="shared" si="128"/>
        <v/>
      </c>
      <c r="DT100" s="11" t="str">
        <f t="shared" si="128"/>
        <v/>
      </c>
      <c r="DU100" s="11" t="str">
        <f t="shared" si="128"/>
        <v/>
      </c>
      <c r="DV100" s="11" t="str">
        <f t="shared" si="128"/>
        <v/>
      </c>
      <c r="DW100" s="11" t="str">
        <f t="shared" ref="DW100:EH105" si="129">IF(AND($E100&lt;&gt;"",$F100&lt;&gt;"",$E100&lt;=DW$3,$F100&gt;=DW$3),"▪","")</f>
        <v/>
      </c>
      <c r="DX100" s="11" t="str">
        <f t="shared" si="129"/>
        <v/>
      </c>
      <c r="DY100" s="11" t="str">
        <f t="shared" si="129"/>
        <v/>
      </c>
      <c r="DZ100" s="11" t="str">
        <f t="shared" si="129"/>
        <v/>
      </c>
      <c r="EA100" s="11" t="str">
        <f t="shared" si="129"/>
        <v/>
      </c>
      <c r="EB100" s="11" t="str">
        <f t="shared" si="129"/>
        <v>▪</v>
      </c>
      <c r="EC100" s="11" t="str">
        <f t="shared" si="129"/>
        <v/>
      </c>
      <c r="ED100" s="11" t="str">
        <f t="shared" si="129"/>
        <v/>
      </c>
      <c r="EE100" s="11" t="str">
        <f t="shared" si="129"/>
        <v/>
      </c>
      <c r="EF100" s="11" t="str">
        <f t="shared" si="129"/>
        <v/>
      </c>
      <c r="EG100" s="11" t="str">
        <f t="shared" si="129"/>
        <v/>
      </c>
      <c r="EH100" s="11" t="str">
        <f t="shared" si="129"/>
        <v/>
      </c>
    </row>
    <row r="101" spans="1:138" ht="13.5" customHeight="1">
      <c r="A101" s="55"/>
      <c r="B101" s="55"/>
      <c r="C101" s="55"/>
      <c r="D101" s="12" t="s">
        <v>80</v>
      </c>
      <c r="E101" s="10"/>
      <c r="F101" s="10"/>
      <c r="G101" s="13" t="str">
        <f t="shared" si="117"/>
        <v/>
      </c>
      <c r="H101" s="13" t="str">
        <f t="shared" si="117"/>
        <v/>
      </c>
      <c r="I101" s="13" t="str">
        <f t="shared" si="117"/>
        <v/>
      </c>
      <c r="J101" s="13" t="str">
        <f t="shared" si="117"/>
        <v/>
      </c>
      <c r="K101" s="13" t="str">
        <f t="shared" si="117"/>
        <v/>
      </c>
      <c r="L101" s="13" t="str">
        <f t="shared" si="117"/>
        <v/>
      </c>
      <c r="M101" s="13" t="str">
        <f t="shared" si="117"/>
        <v/>
      </c>
      <c r="N101" s="13" t="str">
        <f t="shared" si="117"/>
        <v/>
      </c>
      <c r="O101" s="13" t="str">
        <f t="shared" si="117"/>
        <v/>
      </c>
      <c r="P101" s="13" t="str">
        <f t="shared" si="117"/>
        <v/>
      </c>
      <c r="Q101" s="13" t="str">
        <f t="shared" si="118"/>
        <v/>
      </c>
      <c r="R101" s="13" t="str">
        <f t="shared" si="118"/>
        <v/>
      </c>
      <c r="S101" s="13" t="str">
        <f t="shared" si="118"/>
        <v/>
      </c>
      <c r="T101" s="13" t="str">
        <f t="shared" si="118"/>
        <v/>
      </c>
      <c r="U101" s="13" t="str">
        <f t="shared" si="118"/>
        <v/>
      </c>
      <c r="V101" s="13" t="str">
        <f t="shared" si="118"/>
        <v/>
      </c>
      <c r="W101" s="13" t="str">
        <f t="shared" si="118"/>
        <v/>
      </c>
      <c r="X101" s="13" t="str">
        <f t="shared" si="118"/>
        <v/>
      </c>
      <c r="Y101" s="13" t="str">
        <f t="shared" si="118"/>
        <v/>
      </c>
      <c r="Z101" s="13" t="str">
        <f t="shared" si="118"/>
        <v/>
      </c>
      <c r="AA101" s="13" t="str">
        <f t="shared" si="119"/>
        <v/>
      </c>
      <c r="AB101" s="13" t="str">
        <f t="shared" si="119"/>
        <v/>
      </c>
      <c r="AC101" s="13" t="str">
        <f t="shared" si="119"/>
        <v/>
      </c>
      <c r="AD101" s="13" t="str">
        <f t="shared" si="119"/>
        <v/>
      </c>
      <c r="AE101" s="13" t="str">
        <f t="shared" si="119"/>
        <v/>
      </c>
      <c r="AF101" s="13" t="str">
        <f t="shared" si="119"/>
        <v/>
      </c>
      <c r="AG101" s="13" t="str">
        <f t="shared" si="119"/>
        <v/>
      </c>
      <c r="AH101" s="13" t="str">
        <f t="shared" si="119"/>
        <v/>
      </c>
      <c r="AI101" s="13" t="str">
        <f t="shared" si="119"/>
        <v/>
      </c>
      <c r="AJ101" s="13" t="str">
        <f t="shared" si="119"/>
        <v/>
      </c>
      <c r="AK101" s="13" t="str">
        <f t="shared" si="120"/>
        <v/>
      </c>
      <c r="AL101" s="13" t="str">
        <f t="shared" si="120"/>
        <v/>
      </c>
      <c r="AM101" s="13" t="str">
        <f t="shared" si="120"/>
        <v/>
      </c>
      <c r="AN101" s="13" t="str">
        <f t="shared" si="120"/>
        <v/>
      </c>
      <c r="AO101" s="13" t="str">
        <f t="shared" si="120"/>
        <v/>
      </c>
      <c r="AP101" s="13" t="str">
        <f t="shared" si="120"/>
        <v/>
      </c>
      <c r="AQ101" s="13" t="str">
        <f t="shared" si="120"/>
        <v/>
      </c>
      <c r="AR101" s="13" t="str">
        <f t="shared" si="120"/>
        <v/>
      </c>
      <c r="AS101" s="13" t="str">
        <f t="shared" si="120"/>
        <v/>
      </c>
      <c r="AT101" s="13" t="str">
        <f t="shared" si="120"/>
        <v/>
      </c>
      <c r="AU101" s="13" t="str">
        <f t="shared" si="121"/>
        <v/>
      </c>
      <c r="AV101" s="13" t="str">
        <f t="shared" si="121"/>
        <v/>
      </c>
      <c r="AW101" s="13" t="str">
        <f t="shared" si="121"/>
        <v/>
      </c>
      <c r="AX101" s="13" t="str">
        <f t="shared" si="121"/>
        <v/>
      </c>
      <c r="AY101" s="13" t="str">
        <f t="shared" si="121"/>
        <v/>
      </c>
      <c r="AZ101" s="13" t="str">
        <f t="shared" si="121"/>
        <v/>
      </c>
      <c r="BA101" s="13" t="str">
        <f t="shared" si="121"/>
        <v/>
      </c>
      <c r="BB101" s="13" t="str">
        <f t="shared" si="121"/>
        <v/>
      </c>
      <c r="BC101" s="13" t="str">
        <f t="shared" si="121"/>
        <v/>
      </c>
      <c r="BD101" s="13" t="str">
        <f t="shared" si="121"/>
        <v/>
      </c>
      <c r="BE101" s="13" t="str">
        <f t="shared" si="122"/>
        <v/>
      </c>
      <c r="BF101" s="13" t="str">
        <f t="shared" si="122"/>
        <v/>
      </c>
      <c r="BG101" s="13" t="str">
        <f t="shared" si="122"/>
        <v/>
      </c>
      <c r="BH101" s="13" t="str">
        <f t="shared" si="122"/>
        <v/>
      </c>
      <c r="BI101" s="13" t="str">
        <f t="shared" si="122"/>
        <v/>
      </c>
      <c r="BJ101" s="13" t="str">
        <f t="shared" si="122"/>
        <v/>
      </c>
      <c r="BK101" s="13" t="str">
        <f t="shared" si="122"/>
        <v/>
      </c>
      <c r="BL101" s="13" t="str">
        <f t="shared" si="122"/>
        <v/>
      </c>
      <c r="BM101" s="13" t="str">
        <f t="shared" si="122"/>
        <v/>
      </c>
      <c r="BN101" s="13" t="str">
        <f t="shared" si="122"/>
        <v/>
      </c>
      <c r="BO101" s="13" t="str">
        <f t="shared" si="123"/>
        <v/>
      </c>
      <c r="BP101" s="13" t="str">
        <f t="shared" si="123"/>
        <v/>
      </c>
      <c r="BQ101" s="13" t="str">
        <f t="shared" si="123"/>
        <v/>
      </c>
      <c r="BR101" s="13" t="str">
        <f t="shared" si="123"/>
        <v/>
      </c>
      <c r="BS101" s="13" t="str">
        <f t="shared" si="123"/>
        <v/>
      </c>
      <c r="BT101" s="13" t="str">
        <f t="shared" si="123"/>
        <v/>
      </c>
      <c r="BU101" s="13" t="str">
        <f t="shared" si="123"/>
        <v/>
      </c>
      <c r="BV101" s="13" t="str">
        <f t="shared" si="123"/>
        <v/>
      </c>
      <c r="BW101" s="13" t="str">
        <f t="shared" si="123"/>
        <v/>
      </c>
      <c r="BX101" s="13" t="str">
        <f t="shared" si="123"/>
        <v/>
      </c>
      <c r="BY101" s="13" t="str">
        <f t="shared" si="124"/>
        <v/>
      </c>
      <c r="BZ101" s="13" t="str">
        <f t="shared" si="124"/>
        <v/>
      </c>
      <c r="CA101" s="13" t="str">
        <f t="shared" si="124"/>
        <v/>
      </c>
      <c r="CB101" s="13" t="str">
        <f t="shared" si="124"/>
        <v/>
      </c>
      <c r="CC101" s="13" t="str">
        <f t="shared" si="124"/>
        <v/>
      </c>
      <c r="CD101" s="13" t="str">
        <f t="shared" si="124"/>
        <v/>
      </c>
      <c r="CE101" s="13" t="str">
        <f t="shared" si="124"/>
        <v/>
      </c>
      <c r="CF101" s="13" t="str">
        <f t="shared" si="124"/>
        <v/>
      </c>
      <c r="CG101" s="13" t="str">
        <f t="shared" si="124"/>
        <v/>
      </c>
      <c r="CH101" s="13" t="str">
        <f t="shared" si="124"/>
        <v/>
      </c>
      <c r="CI101" s="13" t="str">
        <f t="shared" si="125"/>
        <v/>
      </c>
      <c r="CJ101" s="13" t="str">
        <f t="shared" si="125"/>
        <v/>
      </c>
      <c r="CK101" s="13" t="str">
        <f t="shared" si="125"/>
        <v/>
      </c>
      <c r="CL101" s="13" t="str">
        <f t="shared" si="125"/>
        <v/>
      </c>
      <c r="CM101" s="13" t="str">
        <f t="shared" si="125"/>
        <v/>
      </c>
      <c r="CN101" s="13" t="str">
        <f t="shared" si="125"/>
        <v/>
      </c>
      <c r="CO101" s="13" t="str">
        <f t="shared" si="125"/>
        <v/>
      </c>
      <c r="CP101" s="13" t="str">
        <f t="shared" si="125"/>
        <v/>
      </c>
      <c r="CQ101" s="13" t="str">
        <f t="shared" si="125"/>
        <v/>
      </c>
      <c r="CR101" s="13" t="str">
        <f t="shared" si="125"/>
        <v/>
      </c>
      <c r="CS101" s="13" t="str">
        <f t="shared" si="126"/>
        <v/>
      </c>
      <c r="CT101" s="13" t="str">
        <f t="shared" si="126"/>
        <v/>
      </c>
      <c r="CU101" s="13" t="str">
        <f t="shared" si="126"/>
        <v/>
      </c>
      <c r="CV101" s="13" t="str">
        <f t="shared" si="126"/>
        <v/>
      </c>
      <c r="CW101" s="13" t="str">
        <f t="shared" si="126"/>
        <v/>
      </c>
      <c r="CX101" s="13" t="str">
        <f t="shared" si="126"/>
        <v/>
      </c>
      <c r="CY101" s="13" t="str">
        <f t="shared" si="126"/>
        <v/>
      </c>
      <c r="CZ101" s="13" t="str">
        <f t="shared" si="126"/>
        <v/>
      </c>
      <c r="DA101" s="13" t="str">
        <f t="shared" si="126"/>
        <v/>
      </c>
      <c r="DB101" s="13" t="str">
        <f t="shared" si="126"/>
        <v/>
      </c>
      <c r="DC101" s="13" t="str">
        <f t="shared" si="127"/>
        <v/>
      </c>
      <c r="DD101" s="13" t="str">
        <f t="shared" si="127"/>
        <v/>
      </c>
      <c r="DE101" s="13" t="str">
        <f t="shared" si="127"/>
        <v/>
      </c>
      <c r="DF101" s="13" t="str">
        <f t="shared" si="127"/>
        <v/>
      </c>
      <c r="DG101" s="13" t="str">
        <f t="shared" si="127"/>
        <v/>
      </c>
      <c r="DH101" s="13" t="str">
        <f t="shared" si="127"/>
        <v/>
      </c>
      <c r="DI101" s="13" t="str">
        <f t="shared" si="127"/>
        <v/>
      </c>
      <c r="DJ101" s="13" t="str">
        <f t="shared" si="127"/>
        <v/>
      </c>
      <c r="DK101" s="13" t="str">
        <f t="shared" si="127"/>
        <v/>
      </c>
      <c r="DL101" s="13" t="str">
        <f t="shared" si="127"/>
        <v/>
      </c>
      <c r="DM101" s="13" t="str">
        <f t="shared" si="128"/>
        <v/>
      </c>
      <c r="DN101" s="13" t="str">
        <f t="shared" si="128"/>
        <v/>
      </c>
      <c r="DO101" s="13" t="str">
        <f t="shared" si="128"/>
        <v/>
      </c>
      <c r="DP101" s="13" t="str">
        <f t="shared" si="128"/>
        <v/>
      </c>
      <c r="DQ101" s="13" t="str">
        <f t="shared" si="128"/>
        <v/>
      </c>
      <c r="DR101" s="13" t="str">
        <f t="shared" si="128"/>
        <v/>
      </c>
      <c r="DS101" s="13" t="str">
        <f t="shared" si="128"/>
        <v/>
      </c>
      <c r="DT101" s="13" t="str">
        <f t="shared" si="128"/>
        <v/>
      </c>
      <c r="DU101" s="13" t="str">
        <f t="shared" si="128"/>
        <v/>
      </c>
      <c r="DV101" s="13" t="str">
        <f t="shared" si="128"/>
        <v/>
      </c>
      <c r="DW101" s="13" t="str">
        <f t="shared" si="129"/>
        <v/>
      </c>
      <c r="DX101" s="13" t="str">
        <f t="shared" si="129"/>
        <v/>
      </c>
      <c r="DY101" s="13" t="str">
        <f t="shared" si="129"/>
        <v/>
      </c>
      <c r="DZ101" s="13" t="str">
        <f t="shared" si="129"/>
        <v/>
      </c>
      <c r="EA101" s="13" t="str">
        <f t="shared" si="129"/>
        <v/>
      </c>
      <c r="EB101" s="13" t="str">
        <f t="shared" si="129"/>
        <v/>
      </c>
      <c r="EC101" s="13" t="str">
        <f t="shared" si="129"/>
        <v/>
      </c>
      <c r="ED101" s="13" t="str">
        <f t="shared" si="129"/>
        <v/>
      </c>
      <c r="EE101" s="13" t="str">
        <f t="shared" si="129"/>
        <v/>
      </c>
      <c r="EF101" s="13" t="str">
        <f t="shared" si="129"/>
        <v/>
      </c>
      <c r="EG101" s="13" t="str">
        <f t="shared" si="129"/>
        <v/>
      </c>
      <c r="EH101" s="13" t="str">
        <f t="shared" si="129"/>
        <v/>
      </c>
    </row>
    <row r="102" spans="1:138" ht="13.5" customHeight="1">
      <c r="A102" s="55" t="s">
        <v>182</v>
      </c>
      <c r="B102" s="56" t="s">
        <v>183</v>
      </c>
      <c r="C102" s="57" t="s">
        <v>78</v>
      </c>
      <c r="D102" s="9" t="s">
        <v>79</v>
      </c>
      <c r="E102" s="10">
        <v>46361</v>
      </c>
      <c r="F102" s="10">
        <v>46361</v>
      </c>
      <c r="G102" s="11" t="str">
        <f t="shared" si="117"/>
        <v/>
      </c>
      <c r="H102" s="11" t="str">
        <f t="shared" si="117"/>
        <v/>
      </c>
      <c r="I102" s="11" t="str">
        <f t="shared" si="117"/>
        <v/>
      </c>
      <c r="J102" s="11" t="str">
        <f t="shared" si="117"/>
        <v/>
      </c>
      <c r="K102" s="11" t="str">
        <f t="shared" si="117"/>
        <v/>
      </c>
      <c r="L102" s="11" t="str">
        <f t="shared" si="117"/>
        <v/>
      </c>
      <c r="M102" s="11" t="str">
        <f t="shared" si="117"/>
        <v/>
      </c>
      <c r="N102" s="11" t="str">
        <f t="shared" si="117"/>
        <v/>
      </c>
      <c r="O102" s="11" t="str">
        <f t="shared" si="117"/>
        <v/>
      </c>
      <c r="P102" s="11" t="str">
        <f t="shared" si="117"/>
        <v/>
      </c>
      <c r="Q102" s="11" t="str">
        <f t="shared" si="118"/>
        <v/>
      </c>
      <c r="R102" s="11" t="str">
        <f t="shared" si="118"/>
        <v/>
      </c>
      <c r="S102" s="11" t="str">
        <f t="shared" si="118"/>
        <v/>
      </c>
      <c r="T102" s="11" t="str">
        <f t="shared" si="118"/>
        <v/>
      </c>
      <c r="U102" s="11" t="str">
        <f t="shared" si="118"/>
        <v/>
      </c>
      <c r="V102" s="11" t="str">
        <f t="shared" si="118"/>
        <v/>
      </c>
      <c r="W102" s="11" t="str">
        <f t="shared" si="118"/>
        <v/>
      </c>
      <c r="X102" s="11" t="str">
        <f t="shared" si="118"/>
        <v/>
      </c>
      <c r="Y102" s="11" t="str">
        <f t="shared" si="118"/>
        <v/>
      </c>
      <c r="Z102" s="11" t="str">
        <f t="shared" si="118"/>
        <v/>
      </c>
      <c r="AA102" s="11" t="str">
        <f t="shared" si="119"/>
        <v/>
      </c>
      <c r="AB102" s="11" t="str">
        <f t="shared" si="119"/>
        <v/>
      </c>
      <c r="AC102" s="11" t="str">
        <f t="shared" si="119"/>
        <v/>
      </c>
      <c r="AD102" s="11" t="str">
        <f t="shared" si="119"/>
        <v/>
      </c>
      <c r="AE102" s="11" t="str">
        <f t="shared" si="119"/>
        <v/>
      </c>
      <c r="AF102" s="11" t="str">
        <f t="shared" si="119"/>
        <v/>
      </c>
      <c r="AG102" s="11" t="str">
        <f t="shared" si="119"/>
        <v/>
      </c>
      <c r="AH102" s="11" t="str">
        <f t="shared" si="119"/>
        <v/>
      </c>
      <c r="AI102" s="11" t="str">
        <f t="shared" si="119"/>
        <v/>
      </c>
      <c r="AJ102" s="11" t="str">
        <f t="shared" si="119"/>
        <v/>
      </c>
      <c r="AK102" s="11" t="str">
        <f t="shared" si="120"/>
        <v/>
      </c>
      <c r="AL102" s="11" t="str">
        <f t="shared" si="120"/>
        <v/>
      </c>
      <c r="AM102" s="11" t="str">
        <f t="shared" si="120"/>
        <v/>
      </c>
      <c r="AN102" s="11" t="str">
        <f t="shared" si="120"/>
        <v/>
      </c>
      <c r="AO102" s="11" t="str">
        <f t="shared" si="120"/>
        <v/>
      </c>
      <c r="AP102" s="11" t="str">
        <f t="shared" si="120"/>
        <v/>
      </c>
      <c r="AQ102" s="11" t="str">
        <f t="shared" si="120"/>
        <v/>
      </c>
      <c r="AR102" s="11" t="str">
        <f t="shared" si="120"/>
        <v/>
      </c>
      <c r="AS102" s="11" t="str">
        <f t="shared" si="120"/>
        <v/>
      </c>
      <c r="AT102" s="11" t="str">
        <f t="shared" si="120"/>
        <v/>
      </c>
      <c r="AU102" s="11" t="str">
        <f t="shared" si="121"/>
        <v/>
      </c>
      <c r="AV102" s="11" t="str">
        <f t="shared" si="121"/>
        <v/>
      </c>
      <c r="AW102" s="11" t="str">
        <f t="shared" si="121"/>
        <v/>
      </c>
      <c r="AX102" s="11" t="str">
        <f t="shared" si="121"/>
        <v/>
      </c>
      <c r="AY102" s="11" t="str">
        <f t="shared" si="121"/>
        <v/>
      </c>
      <c r="AZ102" s="11" t="str">
        <f t="shared" si="121"/>
        <v/>
      </c>
      <c r="BA102" s="11" t="str">
        <f t="shared" si="121"/>
        <v/>
      </c>
      <c r="BB102" s="11" t="str">
        <f t="shared" si="121"/>
        <v/>
      </c>
      <c r="BC102" s="11" t="str">
        <f t="shared" si="121"/>
        <v/>
      </c>
      <c r="BD102" s="11" t="str">
        <f t="shared" si="121"/>
        <v/>
      </c>
      <c r="BE102" s="11" t="str">
        <f t="shared" si="122"/>
        <v/>
      </c>
      <c r="BF102" s="11" t="str">
        <f t="shared" si="122"/>
        <v/>
      </c>
      <c r="BG102" s="11" t="str">
        <f t="shared" si="122"/>
        <v/>
      </c>
      <c r="BH102" s="11" t="str">
        <f t="shared" si="122"/>
        <v/>
      </c>
      <c r="BI102" s="11" t="str">
        <f t="shared" si="122"/>
        <v/>
      </c>
      <c r="BJ102" s="11" t="str">
        <f t="shared" si="122"/>
        <v/>
      </c>
      <c r="BK102" s="11" t="str">
        <f t="shared" si="122"/>
        <v/>
      </c>
      <c r="BL102" s="11" t="str">
        <f t="shared" si="122"/>
        <v/>
      </c>
      <c r="BM102" s="11" t="str">
        <f t="shared" si="122"/>
        <v/>
      </c>
      <c r="BN102" s="11" t="str">
        <f t="shared" si="122"/>
        <v/>
      </c>
      <c r="BO102" s="11" t="str">
        <f t="shared" si="123"/>
        <v/>
      </c>
      <c r="BP102" s="11" t="str">
        <f t="shared" si="123"/>
        <v/>
      </c>
      <c r="BQ102" s="11" t="str">
        <f t="shared" si="123"/>
        <v/>
      </c>
      <c r="BR102" s="11" t="str">
        <f t="shared" si="123"/>
        <v/>
      </c>
      <c r="BS102" s="11" t="str">
        <f t="shared" si="123"/>
        <v/>
      </c>
      <c r="BT102" s="11" t="str">
        <f t="shared" si="123"/>
        <v/>
      </c>
      <c r="BU102" s="11" t="str">
        <f t="shared" si="123"/>
        <v/>
      </c>
      <c r="BV102" s="11" t="str">
        <f t="shared" si="123"/>
        <v/>
      </c>
      <c r="BW102" s="11" t="str">
        <f t="shared" si="123"/>
        <v/>
      </c>
      <c r="BX102" s="11" t="str">
        <f t="shared" si="123"/>
        <v/>
      </c>
      <c r="BY102" s="11" t="str">
        <f t="shared" si="124"/>
        <v/>
      </c>
      <c r="BZ102" s="11" t="str">
        <f t="shared" si="124"/>
        <v/>
      </c>
      <c r="CA102" s="11" t="str">
        <f t="shared" si="124"/>
        <v/>
      </c>
      <c r="CB102" s="11" t="str">
        <f t="shared" si="124"/>
        <v/>
      </c>
      <c r="CC102" s="11" t="str">
        <f t="shared" si="124"/>
        <v/>
      </c>
      <c r="CD102" s="11" t="str">
        <f t="shared" si="124"/>
        <v/>
      </c>
      <c r="CE102" s="11" t="str">
        <f t="shared" si="124"/>
        <v/>
      </c>
      <c r="CF102" s="11" t="str">
        <f t="shared" si="124"/>
        <v/>
      </c>
      <c r="CG102" s="11" t="str">
        <f t="shared" si="124"/>
        <v/>
      </c>
      <c r="CH102" s="11" t="str">
        <f t="shared" si="124"/>
        <v/>
      </c>
      <c r="CI102" s="11" t="str">
        <f t="shared" si="125"/>
        <v/>
      </c>
      <c r="CJ102" s="11" t="str">
        <f t="shared" si="125"/>
        <v/>
      </c>
      <c r="CK102" s="11" t="str">
        <f t="shared" si="125"/>
        <v/>
      </c>
      <c r="CL102" s="11" t="str">
        <f t="shared" si="125"/>
        <v/>
      </c>
      <c r="CM102" s="11" t="str">
        <f t="shared" si="125"/>
        <v/>
      </c>
      <c r="CN102" s="11" t="str">
        <f t="shared" si="125"/>
        <v/>
      </c>
      <c r="CO102" s="11" t="str">
        <f t="shared" si="125"/>
        <v/>
      </c>
      <c r="CP102" s="11" t="str">
        <f t="shared" si="125"/>
        <v/>
      </c>
      <c r="CQ102" s="11" t="str">
        <f t="shared" si="125"/>
        <v/>
      </c>
      <c r="CR102" s="11" t="str">
        <f t="shared" si="125"/>
        <v/>
      </c>
      <c r="CS102" s="11" t="str">
        <f t="shared" si="126"/>
        <v/>
      </c>
      <c r="CT102" s="11" t="str">
        <f t="shared" si="126"/>
        <v/>
      </c>
      <c r="CU102" s="11" t="str">
        <f t="shared" si="126"/>
        <v/>
      </c>
      <c r="CV102" s="11" t="str">
        <f t="shared" si="126"/>
        <v/>
      </c>
      <c r="CW102" s="11" t="str">
        <f t="shared" si="126"/>
        <v/>
      </c>
      <c r="CX102" s="11" t="str">
        <f t="shared" si="126"/>
        <v/>
      </c>
      <c r="CY102" s="11" t="str">
        <f t="shared" si="126"/>
        <v/>
      </c>
      <c r="CZ102" s="11" t="str">
        <f t="shared" si="126"/>
        <v/>
      </c>
      <c r="DA102" s="11" t="str">
        <f t="shared" si="126"/>
        <v/>
      </c>
      <c r="DB102" s="11" t="str">
        <f t="shared" si="126"/>
        <v/>
      </c>
      <c r="DC102" s="11" t="str">
        <f t="shared" si="127"/>
        <v/>
      </c>
      <c r="DD102" s="11" t="str">
        <f t="shared" si="127"/>
        <v/>
      </c>
      <c r="DE102" s="11" t="str">
        <f t="shared" si="127"/>
        <v/>
      </c>
      <c r="DF102" s="11" t="str">
        <f t="shared" si="127"/>
        <v/>
      </c>
      <c r="DG102" s="11" t="str">
        <f t="shared" si="127"/>
        <v/>
      </c>
      <c r="DH102" s="11" t="str">
        <f t="shared" si="127"/>
        <v/>
      </c>
      <c r="DI102" s="11" t="str">
        <f t="shared" si="127"/>
        <v/>
      </c>
      <c r="DJ102" s="11" t="str">
        <f t="shared" si="127"/>
        <v/>
      </c>
      <c r="DK102" s="11" t="str">
        <f t="shared" si="127"/>
        <v/>
      </c>
      <c r="DL102" s="11" t="str">
        <f t="shared" si="127"/>
        <v/>
      </c>
      <c r="DM102" s="11" t="str">
        <f t="shared" si="128"/>
        <v/>
      </c>
      <c r="DN102" s="11" t="str">
        <f t="shared" si="128"/>
        <v/>
      </c>
      <c r="DO102" s="11" t="str">
        <f t="shared" si="128"/>
        <v/>
      </c>
      <c r="DP102" s="11" t="str">
        <f t="shared" si="128"/>
        <v/>
      </c>
      <c r="DQ102" s="11" t="str">
        <f t="shared" si="128"/>
        <v/>
      </c>
      <c r="DR102" s="11" t="str">
        <f t="shared" si="128"/>
        <v/>
      </c>
      <c r="DS102" s="11" t="str">
        <f t="shared" si="128"/>
        <v/>
      </c>
      <c r="DT102" s="11" t="str">
        <f t="shared" si="128"/>
        <v/>
      </c>
      <c r="DU102" s="11" t="str">
        <f t="shared" si="128"/>
        <v/>
      </c>
      <c r="DV102" s="11" t="str">
        <f t="shared" si="128"/>
        <v/>
      </c>
      <c r="DW102" s="11" t="str">
        <f t="shared" si="129"/>
        <v/>
      </c>
      <c r="DX102" s="11" t="str">
        <f t="shared" si="129"/>
        <v/>
      </c>
      <c r="DY102" s="11" t="str">
        <f t="shared" si="129"/>
        <v/>
      </c>
      <c r="DZ102" s="11" t="str">
        <f t="shared" si="129"/>
        <v/>
      </c>
      <c r="EA102" s="11" t="str">
        <f t="shared" si="129"/>
        <v/>
      </c>
      <c r="EB102" s="11" t="str">
        <f t="shared" si="129"/>
        <v/>
      </c>
      <c r="EC102" s="11" t="str">
        <f t="shared" si="129"/>
        <v>▪</v>
      </c>
      <c r="ED102" s="11" t="str">
        <f t="shared" si="129"/>
        <v/>
      </c>
      <c r="EE102" s="11" t="str">
        <f t="shared" si="129"/>
        <v/>
      </c>
      <c r="EF102" s="11" t="str">
        <f t="shared" si="129"/>
        <v/>
      </c>
      <c r="EG102" s="11" t="str">
        <f t="shared" si="129"/>
        <v/>
      </c>
      <c r="EH102" s="11" t="str">
        <f t="shared" si="129"/>
        <v/>
      </c>
    </row>
    <row r="103" spans="1:138" ht="13.5" customHeight="1">
      <c r="A103" s="55"/>
      <c r="B103" s="55"/>
      <c r="C103" s="55"/>
      <c r="D103" s="12" t="s">
        <v>80</v>
      </c>
      <c r="E103" s="10"/>
      <c r="F103" s="10"/>
      <c r="G103" s="13" t="str">
        <f t="shared" si="117"/>
        <v/>
      </c>
      <c r="H103" s="13" t="str">
        <f t="shared" si="117"/>
        <v/>
      </c>
      <c r="I103" s="13" t="str">
        <f t="shared" si="117"/>
        <v/>
      </c>
      <c r="J103" s="13" t="str">
        <f t="shared" si="117"/>
        <v/>
      </c>
      <c r="K103" s="13" t="str">
        <f t="shared" si="117"/>
        <v/>
      </c>
      <c r="L103" s="13" t="str">
        <f t="shared" si="117"/>
        <v/>
      </c>
      <c r="M103" s="13" t="str">
        <f t="shared" si="117"/>
        <v/>
      </c>
      <c r="N103" s="13" t="str">
        <f t="shared" si="117"/>
        <v/>
      </c>
      <c r="O103" s="13" t="str">
        <f t="shared" si="117"/>
        <v/>
      </c>
      <c r="P103" s="13" t="str">
        <f t="shared" si="117"/>
        <v/>
      </c>
      <c r="Q103" s="13" t="str">
        <f t="shared" si="118"/>
        <v/>
      </c>
      <c r="R103" s="13" t="str">
        <f t="shared" si="118"/>
        <v/>
      </c>
      <c r="S103" s="13" t="str">
        <f t="shared" si="118"/>
        <v/>
      </c>
      <c r="T103" s="13" t="str">
        <f t="shared" si="118"/>
        <v/>
      </c>
      <c r="U103" s="13" t="str">
        <f t="shared" si="118"/>
        <v/>
      </c>
      <c r="V103" s="13" t="str">
        <f t="shared" si="118"/>
        <v/>
      </c>
      <c r="W103" s="13" t="str">
        <f t="shared" si="118"/>
        <v/>
      </c>
      <c r="X103" s="13" t="str">
        <f t="shared" si="118"/>
        <v/>
      </c>
      <c r="Y103" s="13" t="str">
        <f t="shared" si="118"/>
        <v/>
      </c>
      <c r="Z103" s="13" t="str">
        <f t="shared" si="118"/>
        <v/>
      </c>
      <c r="AA103" s="13" t="str">
        <f t="shared" si="119"/>
        <v/>
      </c>
      <c r="AB103" s="13" t="str">
        <f t="shared" si="119"/>
        <v/>
      </c>
      <c r="AC103" s="13" t="str">
        <f t="shared" si="119"/>
        <v/>
      </c>
      <c r="AD103" s="13" t="str">
        <f t="shared" si="119"/>
        <v/>
      </c>
      <c r="AE103" s="13" t="str">
        <f t="shared" si="119"/>
        <v/>
      </c>
      <c r="AF103" s="13" t="str">
        <f t="shared" si="119"/>
        <v/>
      </c>
      <c r="AG103" s="13" t="str">
        <f t="shared" si="119"/>
        <v/>
      </c>
      <c r="AH103" s="13" t="str">
        <f t="shared" si="119"/>
        <v/>
      </c>
      <c r="AI103" s="13" t="str">
        <f t="shared" si="119"/>
        <v/>
      </c>
      <c r="AJ103" s="13" t="str">
        <f t="shared" si="119"/>
        <v/>
      </c>
      <c r="AK103" s="13" t="str">
        <f t="shared" si="120"/>
        <v/>
      </c>
      <c r="AL103" s="13" t="str">
        <f t="shared" si="120"/>
        <v/>
      </c>
      <c r="AM103" s="13" t="str">
        <f t="shared" si="120"/>
        <v/>
      </c>
      <c r="AN103" s="13" t="str">
        <f t="shared" si="120"/>
        <v/>
      </c>
      <c r="AO103" s="13" t="str">
        <f t="shared" si="120"/>
        <v/>
      </c>
      <c r="AP103" s="13" t="str">
        <f t="shared" si="120"/>
        <v/>
      </c>
      <c r="AQ103" s="13" t="str">
        <f t="shared" si="120"/>
        <v/>
      </c>
      <c r="AR103" s="13" t="str">
        <f t="shared" si="120"/>
        <v/>
      </c>
      <c r="AS103" s="13" t="str">
        <f t="shared" si="120"/>
        <v/>
      </c>
      <c r="AT103" s="13" t="str">
        <f t="shared" si="120"/>
        <v/>
      </c>
      <c r="AU103" s="13" t="str">
        <f t="shared" si="121"/>
        <v/>
      </c>
      <c r="AV103" s="13" t="str">
        <f t="shared" si="121"/>
        <v/>
      </c>
      <c r="AW103" s="13" t="str">
        <f t="shared" si="121"/>
        <v/>
      </c>
      <c r="AX103" s="13" t="str">
        <f t="shared" si="121"/>
        <v/>
      </c>
      <c r="AY103" s="13" t="str">
        <f t="shared" si="121"/>
        <v/>
      </c>
      <c r="AZ103" s="13" t="str">
        <f t="shared" si="121"/>
        <v/>
      </c>
      <c r="BA103" s="13" t="str">
        <f t="shared" si="121"/>
        <v/>
      </c>
      <c r="BB103" s="13" t="str">
        <f t="shared" si="121"/>
        <v/>
      </c>
      <c r="BC103" s="13" t="str">
        <f t="shared" si="121"/>
        <v/>
      </c>
      <c r="BD103" s="13" t="str">
        <f t="shared" si="121"/>
        <v/>
      </c>
      <c r="BE103" s="13" t="str">
        <f t="shared" si="122"/>
        <v/>
      </c>
      <c r="BF103" s="13" t="str">
        <f t="shared" si="122"/>
        <v/>
      </c>
      <c r="BG103" s="13" t="str">
        <f t="shared" si="122"/>
        <v/>
      </c>
      <c r="BH103" s="13" t="str">
        <f t="shared" si="122"/>
        <v/>
      </c>
      <c r="BI103" s="13" t="str">
        <f t="shared" si="122"/>
        <v/>
      </c>
      <c r="BJ103" s="13" t="str">
        <f t="shared" si="122"/>
        <v/>
      </c>
      <c r="BK103" s="13" t="str">
        <f t="shared" si="122"/>
        <v/>
      </c>
      <c r="BL103" s="13" t="str">
        <f t="shared" si="122"/>
        <v/>
      </c>
      <c r="BM103" s="13" t="str">
        <f t="shared" si="122"/>
        <v/>
      </c>
      <c r="BN103" s="13" t="str">
        <f t="shared" si="122"/>
        <v/>
      </c>
      <c r="BO103" s="13" t="str">
        <f t="shared" si="123"/>
        <v/>
      </c>
      <c r="BP103" s="13" t="str">
        <f t="shared" si="123"/>
        <v/>
      </c>
      <c r="BQ103" s="13" t="str">
        <f t="shared" si="123"/>
        <v/>
      </c>
      <c r="BR103" s="13" t="str">
        <f t="shared" si="123"/>
        <v/>
      </c>
      <c r="BS103" s="13" t="str">
        <f t="shared" si="123"/>
        <v/>
      </c>
      <c r="BT103" s="13" t="str">
        <f t="shared" si="123"/>
        <v/>
      </c>
      <c r="BU103" s="13" t="str">
        <f t="shared" si="123"/>
        <v/>
      </c>
      <c r="BV103" s="13" t="str">
        <f t="shared" si="123"/>
        <v/>
      </c>
      <c r="BW103" s="13" t="str">
        <f t="shared" si="123"/>
        <v/>
      </c>
      <c r="BX103" s="13" t="str">
        <f t="shared" si="123"/>
        <v/>
      </c>
      <c r="BY103" s="13" t="str">
        <f t="shared" si="124"/>
        <v/>
      </c>
      <c r="BZ103" s="13" t="str">
        <f t="shared" si="124"/>
        <v/>
      </c>
      <c r="CA103" s="13" t="str">
        <f t="shared" si="124"/>
        <v/>
      </c>
      <c r="CB103" s="13" t="str">
        <f t="shared" si="124"/>
        <v/>
      </c>
      <c r="CC103" s="13" t="str">
        <f t="shared" si="124"/>
        <v/>
      </c>
      <c r="CD103" s="13" t="str">
        <f t="shared" si="124"/>
        <v/>
      </c>
      <c r="CE103" s="13" t="str">
        <f t="shared" si="124"/>
        <v/>
      </c>
      <c r="CF103" s="13" t="str">
        <f t="shared" si="124"/>
        <v/>
      </c>
      <c r="CG103" s="13" t="str">
        <f t="shared" si="124"/>
        <v/>
      </c>
      <c r="CH103" s="13" t="str">
        <f t="shared" si="124"/>
        <v/>
      </c>
      <c r="CI103" s="13" t="str">
        <f t="shared" si="125"/>
        <v/>
      </c>
      <c r="CJ103" s="13" t="str">
        <f t="shared" si="125"/>
        <v/>
      </c>
      <c r="CK103" s="13" t="str">
        <f t="shared" si="125"/>
        <v/>
      </c>
      <c r="CL103" s="13" t="str">
        <f t="shared" si="125"/>
        <v/>
      </c>
      <c r="CM103" s="13" t="str">
        <f t="shared" si="125"/>
        <v/>
      </c>
      <c r="CN103" s="13" t="str">
        <f t="shared" si="125"/>
        <v/>
      </c>
      <c r="CO103" s="13" t="str">
        <f t="shared" si="125"/>
        <v/>
      </c>
      <c r="CP103" s="13" t="str">
        <f t="shared" si="125"/>
        <v/>
      </c>
      <c r="CQ103" s="13" t="str">
        <f t="shared" si="125"/>
        <v/>
      </c>
      <c r="CR103" s="13" t="str">
        <f t="shared" si="125"/>
        <v/>
      </c>
      <c r="CS103" s="13" t="str">
        <f t="shared" si="126"/>
        <v/>
      </c>
      <c r="CT103" s="13" t="str">
        <f t="shared" si="126"/>
        <v/>
      </c>
      <c r="CU103" s="13" t="str">
        <f t="shared" si="126"/>
        <v/>
      </c>
      <c r="CV103" s="13" t="str">
        <f t="shared" si="126"/>
        <v/>
      </c>
      <c r="CW103" s="13" t="str">
        <f t="shared" si="126"/>
        <v/>
      </c>
      <c r="CX103" s="13" t="str">
        <f t="shared" si="126"/>
        <v/>
      </c>
      <c r="CY103" s="13" t="str">
        <f t="shared" si="126"/>
        <v/>
      </c>
      <c r="CZ103" s="13" t="str">
        <f t="shared" si="126"/>
        <v/>
      </c>
      <c r="DA103" s="13" t="str">
        <f t="shared" si="126"/>
        <v/>
      </c>
      <c r="DB103" s="13" t="str">
        <f t="shared" si="126"/>
        <v/>
      </c>
      <c r="DC103" s="13" t="str">
        <f t="shared" si="127"/>
        <v/>
      </c>
      <c r="DD103" s="13" t="str">
        <f t="shared" si="127"/>
        <v/>
      </c>
      <c r="DE103" s="13" t="str">
        <f t="shared" si="127"/>
        <v/>
      </c>
      <c r="DF103" s="13" t="str">
        <f t="shared" si="127"/>
        <v/>
      </c>
      <c r="DG103" s="13" t="str">
        <f t="shared" si="127"/>
        <v/>
      </c>
      <c r="DH103" s="13" t="str">
        <f t="shared" si="127"/>
        <v/>
      </c>
      <c r="DI103" s="13" t="str">
        <f t="shared" si="127"/>
        <v/>
      </c>
      <c r="DJ103" s="13" t="str">
        <f t="shared" si="127"/>
        <v/>
      </c>
      <c r="DK103" s="13" t="str">
        <f t="shared" si="127"/>
        <v/>
      </c>
      <c r="DL103" s="13" t="str">
        <f t="shared" si="127"/>
        <v/>
      </c>
      <c r="DM103" s="13" t="str">
        <f t="shared" si="128"/>
        <v/>
      </c>
      <c r="DN103" s="13" t="str">
        <f t="shared" si="128"/>
        <v/>
      </c>
      <c r="DO103" s="13" t="str">
        <f t="shared" si="128"/>
        <v/>
      </c>
      <c r="DP103" s="13" t="str">
        <f t="shared" si="128"/>
        <v/>
      </c>
      <c r="DQ103" s="13" t="str">
        <f t="shared" si="128"/>
        <v/>
      </c>
      <c r="DR103" s="13" t="str">
        <f t="shared" si="128"/>
        <v/>
      </c>
      <c r="DS103" s="13" t="str">
        <f t="shared" si="128"/>
        <v/>
      </c>
      <c r="DT103" s="13" t="str">
        <f t="shared" si="128"/>
        <v/>
      </c>
      <c r="DU103" s="13" t="str">
        <f t="shared" si="128"/>
        <v/>
      </c>
      <c r="DV103" s="13" t="str">
        <f t="shared" si="128"/>
        <v/>
      </c>
      <c r="DW103" s="13" t="str">
        <f t="shared" si="129"/>
        <v/>
      </c>
      <c r="DX103" s="13" t="str">
        <f t="shared" si="129"/>
        <v/>
      </c>
      <c r="DY103" s="13" t="str">
        <f t="shared" si="129"/>
        <v/>
      </c>
      <c r="DZ103" s="13" t="str">
        <f t="shared" si="129"/>
        <v/>
      </c>
      <c r="EA103" s="13" t="str">
        <f t="shared" si="129"/>
        <v/>
      </c>
      <c r="EB103" s="13" t="str">
        <f t="shared" si="129"/>
        <v/>
      </c>
      <c r="EC103" s="13" t="str">
        <f t="shared" si="129"/>
        <v/>
      </c>
      <c r="ED103" s="13" t="str">
        <f t="shared" si="129"/>
        <v/>
      </c>
      <c r="EE103" s="13" t="str">
        <f t="shared" si="129"/>
        <v/>
      </c>
      <c r="EF103" s="13" t="str">
        <f t="shared" si="129"/>
        <v/>
      </c>
      <c r="EG103" s="13" t="str">
        <f t="shared" si="129"/>
        <v/>
      </c>
      <c r="EH103" s="13" t="str">
        <f t="shared" si="129"/>
        <v/>
      </c>
    </row>
    <row r="104" spans="1:138" ht="13.5" customHeight="1">
      <c r="A104" s="55" t="s">
        <v>184</v>
      </c>
      <c r="B104" s="56" t="s">
        <v>185</v>
      </c>
      <c r="C104" s="57" t="s">
        <v>78</v>
      </c>
      <c r="D104" s="9" t="s">
        <v>79</v>
      </c>
      <c r="E104" s="10">
        <v>46361</v>
      </c>
      <c r="F104" s="10">
        <v>46361</v>
      </c>
      <c r="G104" s="11" t="str">
        <f t="shared" si="117"/>
        <v/>
      </c>
      <c r="H104" s="11" t="str">
        <f t="shared" si="117"/>
        <v/>
      </c>
      <c r="I104" s="11" t="str">
        <f t="shared" si="117"/>
        <v/>
      </c>
      <c r="J104" s="11" t="str">
        <f t="shared" si="117"/>
        <v/>
      </c>
      <c r="K104" s="11" t="str">
        <f t="shared" si="117"/>
        <v/>
      </c>
      <c r="L104" s="11" t="str">
        <f t="shared" si="117"/>
        <v/>
      </c>
      <c r="M104" s="11" t="str">
        <f t="shared" si="117"/>
        <v/>
      </c>
      <c r="N104" s="11" t="str">
        <f t="shared" si="117"/>
        <v/>
      </c>
      <c r="O104" s="11" t="str">
        <f t="shared" si="117"/>
        <v/>
      </c>
      <c r="P104" s="11" t="str">
        <f t="shared" si="117"/>
        <v/>
      </c>
      <c r="Q104" s="11" t="str">
        <f t="shared" si="118"/>
        <v/>
      </c>
      <c r="R104" s="11" t="str">
        <f t="shared" si="118"/>
        <v/>
      </c>
      <c r="S104" s="11" t="str">
        <f t="shared" si="118"/>
        <v/>
      </c>
      <c r="T104" s="11" t="str">
        <f t="shared" si="118"/>
        <v/>
      </c>
      <c r="U104" s="11" t="str">
        <f t="shared" si="118"/>
        <v/>
      </c>
      <c r="V104" s="11" t="str">
        <f t="shared" si="118"/>
        <v/>
      </c>
      <c r="W104" s="11" t="str">
        <f t="shared" si="118"/>
        <v/>
      </c>
      <c r="X104" s="11" t="str">
        <f t="shared" si="118"/>
        <v/>
      </c>
      <c r="Y104" s="11" t="str">
        <f t="shared" si="118"/>
        <v/>
      </c>
      <c r="Z104" s="11" t="str">
        <f t="shared" si="118"/>
        <v/>
      </c>
      <c r="AA104" s="11" t="str">
        <f t="shared" si="119"/>
        <v/>
      </c>
      <c r="AB104" s="11" t="str">
        <f t="shared" si="119"/>
        <v/>
      </c>
      <c r="AC104" s="11" t="str">
        <f t="shared" si="119"/>
        <v/>
      </c>
      <c r="AD104" s="11" t="str">
        <f t="shared" si="119"/>
        <v/>
      </c>
      <c r="AE104" s="11" t="str">
        <f t="shared" si="119"/>
        <v/>
      </c>
      <c r="AF104" s="11" t="str">
        <f t="shared" si="119"/>
        <v/>
      </c>
      <c r="AG104" s="11" t="str">
        <f t="shared" si="119"/>
        <v/>
      </c>
      <c r="AH104" s="11" t="str">
        <f t="shared" si="119"/>
        <v/>
      </c>
      <c r="AI104" s="11" t="str">
        <f t="shared" si="119"/>
        <v/>
      </c>
      <c r="AJ104" s="11" t="str">
        <f t="shared" si="119"/>
        <v/>
      </c>
      <c r="AK104" s="11" t="str">
        <f t="shared" si="120"/>
        <v/>
      </c>
      <c r="AL104" s="11" t="str">
        <f t="shared" si="120"/>
        <v/>
      </c>
      <c r="AM104" s="11" t="str">
        <f t="shared" si="120"/>
        <v/>
      </c>
      <c r="AN104" s="11" t="str">
        <f t="shared" si="120"/>
        <v/>
      </c>
      <c r="AO104" s="11" t="str">
        <f t="shared" si="120"/>
        <v/>
      </c>
      <c r="AP104" s="11" t="str">
        <f t="shared" si="120"/>
        <v/>
      </c>
      <c r="AQ104" s="11" t="str">
        <f t="shared" si="120"/>
        <v/>
      </c>
      <c r="AR104" s="11" t="str">
        <f t="shared" si="120"/>
        <v/>
      </c>
      <c r="AS104" s="11" t="str">
        <f t="shared" si="120"/>
        <v/>
      </c>
      <c r="AT104" s="11" t="str">
        <f t="shared" si="120"/>
        <v/>
      </c>
      <c r="AU104" s="11" t="str">
        <f t="shared" si="121"/>
        <v/>
      </c>
      <c r="AV104" s="11" t="str">
        <f t="shared" si="121"/>
        <v/>
      </c>
      <c r="AW104" s="11" t="str">
        <f t="shared" si="121"/>
        <v/>
      </c>
      <c r="AX104" s="11" t="str">
        <f t="shared" si="121"/>
        <v/>
      </c>
      <c r="AY104" s="11" t="str">
        <f t="shared" si="121"/>
        <v/>
      </c>
      <c r="AZ104" s="11" t="str">
        <f t="shared" si="121"/>
        <v/>
      </c>
      <c r="BA104" s="11" t="str">
        <f t="shared" si="121"/>
        <v/>
      </c>
      <c r="BB104" s="11" t="str">
        <f t="shared" si="121"/>
        <v/>
      </c>
      <c r="BC104" s="11" t="str">
        <f t="shared" si="121"/>
        <v/>
      </c>
      <c r="BD104" s="11" t="str">
        <f t="shared" si="121"/>
        <v/>
      </c>
      <c r="BE104" s="11" t="str">
        <f t="shared" si="122"/>
        <v/>
      </c>
      <c r="BF104" s="11" t="str">
        <f t="shared" si="122"/>
        <v/>
      </c>
      <c r="BG104" s="11" t="str">
        <f t="shared" si="122"/>
        <v/>
      </c>
      <c r="BH104" s="11" t="str">
        <f t="shared" si="122"/>
        <v/>
      </c>
      <c r="BI104" s="11" t="str">
        <f t="shared" si="122"/>
        <v/>
      </c>
      <c r="BJ104" s="11" t="str">
        <f t="shared" si="122"/>
        <v/>
      </c>
      <c r="BK104" s="11" t="str">
        <f t="shared" si="122"/>
        <v/>
      </c>
      <c r="BL104" s="11" t="str">
        <f t="shared" si="122"/>
        <v/>
      </c>
      <c r="BM104" s="11" t="str">
        <f t="shared" si="122"/>
        <v/>
      </c>
      <c r="BN104" s="11" t="str">
        <f t="shared" si="122"/>
        <v/>
      </c>
      <c r="BO104" s="11" t="str">
        <f t="shared" si="123"/>
        <v/>
      </c>
      <c r="BP104" s="11" t="str">
        <f t="shared" si="123"/>
        <v/>
      </c>
      <c r="BQ104" s="11" t="str">
        <f t="shared" si="123"/>
        <v/>
      </c>
      <c r="BR104" s="11" t="str">
        <f t="shared" si="123"/>
        <v/>
      </c>
      <c r="BS104" s="11" t="str">
        <f t="shared" si="123"/>
        <v/>
      </c>
      <c r="BT104" s="11" t="str">
        <f t="shared" si="123"/>
        <v/>
      </c>
      <c r="BU104" s="11" t="str">
        <f t="shared" si="123"/>
        <v/>
      </c>
      <c r="BV104" s="11" t="str">
        <f t="shared" si="123"/>
        <v/>
      </c>
      <c r="BW104" s="11" t="str">
        <f t="shared" si="123"/>
        <v/>
      </c>
      <c r="BX104" s="11" t="str">
        <f t="shared" si="123"/>
        <v/>
      </c>
      <c r="BY104" s="11" t="str">
        <f t="shared" si="124"/>
        <v/>
      </c>
      <c r="BZ104" s="11" t="str">
        <f t="shared" si="124"/>
        <v/>
      </c>
      <c r="CA104" s="11" t="str">
        <f t="shared" si="124"/>
        <v/>
      </c>
      <c r="CB104" s="11" t="str">
        <f t="shared" si="124"/>
        <v/>
      </c>
      <c r="CC104" s="11" t="str">
        <f t="shared" si="124"/>
        <v/>
      </c>
      <c r="CD104" s="11" t="str">
        <f t="shared" si="124"/>
        <v/>
      </c>
      <c r="CE104" s="11" t="str">
        <f t="shared" si="124"/>
        <v/>
      </c>
      <c r="CF104" s="11" t="str">
        <f t="shared" si="124"/>
        <v/>
      </c>
      <c r="CG104" s="11" t="str">
        <f t="shared" si="124"/>
        <v/>
      </c>
      <c r="CH104" s="11" t="str">
        <f t="shared" si="124"/>
        <v/>
      </c>
      <c r="CI104" s="11" t="str">
        <f t="shared" si="125"/>
        <v/>
      </c>
      <c r="CJ104" s="11" t="str">
        <f t="shared" si="125"/>
        <v/>
      </c>
      <c r="CK104" s="11" t="str">
        <f t="shared" si="125"/>
        <v/>
      </c>
      <c r="CL104" s="11" t="str">
        <f t="shared" si="125"/>
        <v/>
      </c>
      <c r="CM104" s="11" t="str">
        <f t="shared" si="125"/>
        <v/>
      </c>
      <c r="CN104" s="11" t="str">
        <f t="shared" si="125"/>
        <v/>
      </c>
      <c r="CO104" s="11" t="str">
        <f t="shared" si="125"/>
        <v/>
      </c>
      <c r="CP104" s="11" t="str">
        <f t="shared" si="125"/>
        <v/>
      </c>
      <c r="CQ104" s="11" t="str">
        <f t="shared" si="125"/>
        <v/>
      </c>
      <c r="CR104" s="11" t="str">
        <f t="shared" si="125"/>
        <v/>
      </c>
      <c r="CS104" s="11" t="str">
        <f t="shared" si="126"/>
        <v/>
      </c>
      <c r="CT104" s="11" t="str">
        <f t="shared" si="126"/>
        <v/>
      </c>
      <c r="CU104" s="11" t="str">
        <f t="shared" si="126"/>
        <v/>
      </c>
      <c r="CV104" s="11" t="str">
        <f t="shared" si="126"/>
        <v/>
      </c>
      <c r="CW104" s="11" t="str">
        <f t="shared" si="126"/>
        <v/>
      </c>
      <c r="CX104" s="11" t="str">
        <f t="shared" si="126"/>
        <v/>
      </c>
      <c r="CY104" s="11" t="str">
        <f t="shared" si="126"/>
        <v/>
      </c>
      <c r="CZ104" s="11" t="str">
        <f t="shared" si="126"/>
        <v/>
      </c>
      <c r="DA104" s="11" t="str">
        <f t="shared" si="126"/>
        <v/>
      </c>
      <c r="DB104" s="11" t="str">
        <f t="shared" si="126"/>
        <v/>
      </c>
      <c r="DC104" s="11" t="str">
        <f t="shared" si="127"/>
        <v/>
      </c>
      <c r="DD104" s="11" t="str">
        <f t="shared" si="127"/>
        <v/>
      </c>
      <c r="DE104" s="11" t="str">
        <f t="shared" si="127"/>
        <v/>
      </c>
      <c r="DF104" s="11" t="str">
        <f t="shared" si="127"/>
        <v/>
      </c>
      <c r="DG104" s="11" t="str">
        <f t="shared" si="127"/>
        <v/>
      </c>
      <c r="DH104" s="11" t="str">
        <f t="shared" si="127"/>
        <v/>
      </c>
      <c r="DI104" s="11" t="str">
        <f t="shared" si="127"/>
        <v/>
      </c>
      <c r="DJ104" s="11" t="str">
        <f t="shared" si="127"/>
        <v/>
      </c>
      <c r="DK104" s="11" t="str">
        <f t="shared" si="127"/>
        <v/>
      </c>
      <c r="DL104" s="11" t="str">
        <f t="shared" si="127"/>
        <v/>
      </c>
      <c r="DM104" s="11" t="str">
        <f t="shared" si="128"/>
        <v/>
      </c>
      <c r="DN104" s="11" t="str">
        <f t="shared" si="128"/>
        <v/>
      </c>
      <c r="DO104" s="11" t="str">
        <f t="shared" si="128"/>
        <v/>
      </c>
      <c r="DP104" s="11" t="str">
        <f t="shared" si="128"/>
        <v/>
      </c>
      <c r="DQ104" s="11" t="str">
        <f t="shared" si="128"/>
        <v/>
      </c>
      <c r="DR104" s="11" t="str">
        <f t="shared" si="128"/>
        <v/>
      </c>
      <c r="DS104" s="11" t="str">
        <f t="shared" si="128"/>
        <v/>
      </c>
      <c r="DT104" s="11" t="str">
        <f t="shared" si="128"/>
        <v/>
      </c>
      <c r="DU104" s="11" t="str">
        <f t="shared" si="128"/>
        <v/>
      </c>
      <c r="DV104" s="11" t="str">
        <f t="shared" si="128"/>
        <v/>
      </c>
      <c r="DW104" s="11" t="str">
        <f t="shared" si="129"/>
        <v/>
      </c>
      <c r="DX104" s="11" t="str">
        <f t="shared" si="129"/>
        <v/>
      </c>
      <c r="DY104" s="11" t="str">
        <f t="shared" si="129"/>
        <v/>
      </c>
      <c r="DZ104" s="11" t="str">
        <f t="shared" si="129"/>
        <v/>
      </c>
      <c r="EA104" s="11" t="str">
        <f t="shared" si="129"/>
        <v/>
      </c>
      <c r="EB104" s="11" t="str">
        <f t="shared" si="129"/>
        <v/>
      </c>
      <c r="EC104" s="11" t="str">
        <f t="shared" si="129"/>
        <v>▪</v>
      </c>
      <c r="ED104" s="11" t="str">
        <f t="shared" si="129"/>
        <v/>
      </c>
      <c r="EE104" s="11" t="str">
        <f t="shared" si="129"/>
        <v/>
      </c>
      <c r="EF104" s="11" t="str">
        <f t="shared" si="129"/>
        <v/>
      </c>
      <c r="EG104" s="11" t="str">
        <f t="shared" si="129"/>
        <v/>
      </c>
      <c r="EH104" s="11" t="str">
        <f t="shared" si="129"/>
        <v/>
      </c>
    </row>
    <row r="105" spans="1:138" ht="13.5" customHeight="1">
      <c r="A105" s="55"/>
      <c r="B105" s="55"/>
      <c r="C105" s="55"/>
      <c r="D105" s="12" t="s">
        <v>80</v>
      </c>
      <c r="E105" s="10"/>
      <c r="F105" s="10"/>
      <c r="G105" s="13" t="str">
        <f t="shared" si="117"/>
        <v/>
      </c>
      <c r="H105" s="13" t="str">
        <f t="shared" si="117"/>
        <v/>
      </c>
      <c r="I105" s="13" t="str">
        <f t="shared" si="117"/>
        <v/>
      </c>
      <c r="J105" s="13" t="str">
        <f t="shared" si="117"/>
        <v/>
      </c>
      <c r="K105" s="13" t="str">
        <f t="shared" si="117"/>
        <v/>
      </c>
      <c r="L105" s="13" t="str">
        <f t="shared" si="117"/>
        <v/>
      </c>
      <c r="M105" s="13" t="str">
        <f t="shared" si="117"/>
        <v/>
      </c>
      <c r="N105" s="13" t="str">
        <f t="shared" si="117"/>
        <v/>
      </c>
      <c r="O105" s="13" t="str">
        <f t="shared" si="117"/>
        <v/>
      </c>
      <c r="P105" s="13" t="str">
        <f t="shared" si="117"/>
        <v/>
      </c>
      <c r="Q105" s="13" t="str">
        <f t="shared" si="118"/>
        <v/>
      </c>
      <c r="R105" s="13" t="str">
        <f t="shared" si="118"/>
        <v/>
      </c>
      <c r="S105" s="13" t="str">
        <f t="shared" si="118"/>
        <v/>
      </c>
      <c r="T105" s="13" t="str">
        <f t="shared" si="118"/>
        <v/>
      </c>
      <c r="U105" s="13" t="str">
        <f t="shared" si="118"/>
        <v/>
      </c>
      <c r="V105" s="13" t="str">
        <f t="shared" si="118"/>
        <v/>
      </c>
      <c r="W105" s="13" t="str">
        <f t="shared" si="118"/>
        <v/>
      </c>
      <c r="X105" s="13" t="str">
        <f t="shared" si="118"/>
        <v/>
      </c>
      <c r="Y105" s="13" t="str">
        <f t="shared" si="118"/>
        <v/>
      </c>
      <c r="Z105" s="13" t="str">
        <f t="shared" si="118"/>
        <v/>
      </c>
      <c r="AA105" s="13" t="str">
        <f t="shared" si="119"/>
        <v/>
      </c>
      <c r="AB105" s="13" t="str">
        <f t="shared" si="119"/>
        <v/>
      </c>
      <c r="AC105" s="13" t="str">
        <f t="shared" si="119"/>
        <v/>
      </c>
      <c r="AD105" s="13" t="str">
        <f t="shared" si="119"/>
        <v/>
      </c>
      <c r="AE105" s="13" t="str">
        <f t="shared" si="119"/>
        <v/>
      </c>
      <c r="AF105" s="13" t="str">
        <f t="shared" si="119"/>
        <v/>
      </c>
      <c r="AG105" s="13" t="str">
        <f t="shared" si="119"/>
        <v/>
      </c>
      <c r="AH105" s="13" t="str">
        <f t="shared" si="119"/>
        <v/>
      </c>
      <c r="AI105" s="13" t="str">
        <f t="shared" si="119"/>
        <v/>
      </c>
      <c r="AJ105" s="13" t="str">
        <f t="shared" si="119"/>
        <v/>
      </c>
      <c r="AK105" s="13" t="str">
        <f t="shared" si="120"/>
        <v/>
      </c>
      <c r="AL105" s="13" t="str">
        <f t="shared" si="120"/>
        <v/>
      </c>
      <c r="AM105" s="13" t="str">
        <f t="shared" si="120"/>
        <v/>
      </c>
      <c r="AN105" s="13" t="str">
        <f t="shared" si="120"/>
        <v/>
      </c>
      <c r="AO105" s="13" t="str">
        <f t="shared" si="120"/>
        <v/>
      </c>
      <c r="AP105" s="13" t="str">
        <f t="shared" si="120"/>
        <v/>
      </c>
      <c r="AQ105" s="13" t="str">
        <f t="shared" si="120"/>
        <v/>
      </c>
      <c r="AR105" s="13" t="str">
        <f t="shared" si="120"/>
        <v/>
      </c>
      <c r="AS105" s="13" t="str">
        <f t="shared" si="120"/>
        <v/>
      </c>
      <c r="AT105" s="13" t="str">
        <f t="shared" si="120"/>
        <v/>
      </c>
      <c r="AU105" s="13" t="str">
        <f t="shared" si="121"/>
        <v/>
      </c>
      <c r="AV105" s="13" t="str">
        <f t="shared" si="121"/>
        <v/>
      </c>
      <c r="AW105" s="13" t="str">
        <f t="shared" si="121"/>
        <v/>
      </c>
      <c r="AX105" s="13" t="str">
        <f t="shared" si="121"/>
        <v/>
      </c>
      <c r="AY105" s="13" t="str">
        <f t="shared" si="121"/>
        <v/>
      </c>
      <c r="AZ105" s="13" t="str">
        <f t="shared" si="121"/>
        <v/>
      </c>
      <c r="BA105" s="13" t="str">
        <f t="shared" si="121"/>
        <v/>
      </c>
      <c r="BB105" s="13" t="str">
        <f t="shared" si="121"/>
        <v/>
      </c>
      <c r="BC105" s="13" t="str">
        <f t="shared" si="121"/>
        <v/>
      </c>
      <c r="BD105" s="13" t="str">
        <f t="shared" si="121"/>
        <v/>
      </c>
      <c r="BE105" s="13" t="str">
        <f t="shared" si="122"/>
        <v/>
      </c>
      <c r="BF105" s="13" t="str">
        <f t="shared" si="122"/>
        <v/>
      </c>
      <c r="BG105" s="13" t="str">
        <f t="shared" si="122"/>
        <v/>
      </c>
      <c r="BH105" s="13" t="str">
        <f t="shared" si="122"/>
        <v/>
      </c>
      <c r="BI105" s="13" t="str">
        <f t="shared" si="122"/>
        <v/>
      </c>
      <c r="BJ105" s="13" t="str">
        <f t="shared" si="122"/>
        <v/>
      </c>
      <c r="BK105" s="13" t="str">
        <f t="shared" si="122"/>
        <v/>
      </c>
      <c r="BL105" s="13" t="str">
        <f t="shared" si="122"/>
        <v/>
      </c>
      <c r="BM105" s="13" t="str">
        <f t="shared" si="122"/>
        <v/>
      </c>
      <c r="BN105" s="13" t="str">
        <f t="shared" si="122"/>
        <v/>
      </c>
      <c r="BO105" s="13" t="str">
        <f t="shared" si="123"/>
        <v/>
      </c>
      <c r="BP105" s="13" t="str">
        <f t="shared" si="123"/>
        <v/>
      </c>
      <c r="BQ105" s="13" t="str">
        <f t="shared" si="123"/>
        <v/>
      </c>
      <c r="BR105" s="13" t="str">
        <f t="shared" si="123"/>
        <v/>
      </c>
      <c r="BS105" s="13" t="str">
        <f t="shared" si="123"/>
        <v/>
      </c>
      <c r="BT105" s="13" t="str">
        <f t="shared" si="123"/>
        <v/>
      </c>
      <c r="BU105" s="13" t="str">
        <f t="shared" si="123"/>
        <v/>
      </c>
      <c r="BV105" s="13" t="str">
        <f t="shared" si="123"/>
        <v/>
      </c>
      <c r="BW105" s="13" t="str">
        <f t="shared" si="123"/>
        <v/>
      </c>
      <c r="BX105" s="13" t="str">
        <f t="shared" si="123"/>
        <v/>
      </c>
      <c r="BY105" s="13" t="str">
        <f t="shared" si="124"/>
        <v/>
      </c>
      <c r="BZ105" s="13" t="str">
        <f t="shared" si="124"/>
        <v/>
      </c>
      <c r="CA105" s="13" t="str">
        <f t="shared" si="124"/>
        <v/>
      </c>
      <c r="CB105" s="13" t="str">
        <f t="shared" si="124"/>
        <v/>
      </c>
      <c r="CC105" s="13" t="str">
        <f t="shared" si="124"/>
        <v/>
      </c>
      <c r="CD105" s="13" t="str">
        <f t="shared" si="124"/>
        <v/>
      </c>
      <c r="CE105" s="13" t="str">
        <f t="shared" si="124"/>
        <v/>
      </c>
      <c r="CF105" s="13" t="str">
        <f t="shared" si="124"/>
        <v/>
      </c>
      <c r="CG105" s="13" t="str">
        <f t="shared" si="124"/>
        <v/>
      </c>
      <c r="CH105" s="13" t="str">
        <f t="shared" si="124"/>
        <v/>
      </c>
      <c r="CI105" s="13" t="str">
        <f t="shared" si="125"/>
        <v/>
      </c>
      <c r="CJ105" s="13" t="str">
        <f t="shared" si="125"/>
        <v/>
      </c>
      <c r="CK105" s="13" t="str">
        <f t="shared" si="125"/>
        <v/>
      </c>
      <c r="CL105" s="13" t="str">
        <f t="shared" si="125"/>
        <v/>
      </c>
      <c r="CM105" s="13" t="str">
        <f t="shared" si="125"/>
        <v/>
      </c>
      <c r="CN105" s="13" t="str">
        <f t="shared" si="125"/>
        <v/>
      </c>
      <c r="CO105" s="13" t="str">
        <f t="shared" si="125"/>
        <v/>
      </c>
      <c r="CP105" s="13" t="str">
        <f t="shared" si="125"/>
        <v/>
      </c>
      <c r="CQ105" s="13" t="str">
        <f t="shared" si="125"/>
        <v/>
      </c>
      <c r="CR105" s="13" t="str">
        <f t="shared" si="125"/>
        <v/>
      </c>
      <c r="CS105" s="13" t="str">
        <f t="shared" si="126"/>
        <v/>
      </c>
      <c r="CT105" s="13" t="str">
        <f t="shared" si="126"/>
        <v/>
      </c>
      <c r="CU105" s="13" t="str">
        <f t="shared" si="126"/>
        <v/>
      </c>
      <c r="CV105" s="13" t="str">
        <f t="shared" si="126"/>
        <v/>
      </c>
      <c r="CW105" s="13" t="str">
        <f t="shared" si="126"/>
        <v/>
      </c>
      <c r="CX105" s="13" t="str">
        <f t="shared" si="126"/>
        <v/>
      </c>
      <c r="CY105" s="13" t="str">
        <f t="shared" si="126"/>
        <v/>
      </c>
      <c r="CZ105" s="13" t="str">
        <f t="shared" si="126"/>
        <v/>
      </c>
      <c r="DA105" s="13" t="str">
        <f t="shared" si="126"/>
        <v/>
      </c>
      <c r="DB105" s="13" t="str">
        <f t="shared" si="126"/>
        <v/>
      </c>
      <c r="DC105" s="13" t="str">
        <f t="shared" si="127"/>
        <v/>
      </c>
      <c r="DD105" s="13" t="str">
        <f t="shared" si="127"/>
        <v/>
      </c>
      <c r="DE105" s="13" t="str">
        <f t="shared" si="127"/>
        <v/>
      </c>
      <c r="DF105" s="13" t="str">
        <f t="shared" si="127"/>
        <v/>
      </c>
      <c r="DG105" s="13" t="str">
        <f t="shared" si="127"/>
        <v/>
      </c>
      <c r="DH105" s="13" t="str">
        <f t="shared" si="127"/>
        <v/>
      </c>
      <c r="DI105" s="13" t="str">
        <f t="shared" si="127"/>
        <v/>
      </c>
      <c r="DJ105" s="13" t="str">
        <f t="shared" si="127"/>
        <v/>
      </c>
      <c r="DK105" s="13" t="str">
        <f t="shared" si="127"/>
        <v/>
      </c>
      <c r="DL105" s="13" t="str">
        <f t="shared" si="127"/>
        <v/>
      </c>
      <c r="DM105" s="13" t="str">
        <f t="shared" si="128"/>
        <v/>
      </c>
      <c r="DN105" s="13" t="str">
        <f t="shared" si="128"/>
        <v/>
      </c>
      <c r="DO105" s="13" t="str">
        <f t="shared" si="128"/>
        <v/>
      </c>
      <c r="DP105" s="13" t="str">
        <f t="shared" si="128"/>
        <v/>
      </c>
      <c r="DQ105" s="13" t="str">
        <f t="shared" si="128"/>
        <v/>
      </c>
      <c r="DR105" s="13" t="str">
        <f t="shared" si="128"/>
        <v/>
      </c>
      <c r="DS105" s="13" t="str">
        <f t="shared" si="128"/>
        <v/>
      </c>
      <c r="DT105" s="13" t="str">
        <f t="shared" si="128"/>
        <v/>
      </c>
      <c r="DU105" s="13" t="str">
        <f t="shared" si="128"/>
        <v/>
      </c>
      <c r="DV105" s="13" t="str">
        <f t="shared" si="128"/>
        <v/>
      </c>
      <c r="DW105" s="13" t="str">
        <f t="shared" si="129"/>
        <v/>
      </c>
      <c r="DX105" s="13" t="str">
        <f t="shared" si="129"/>
        <v/>
      </c>
      <c r="DY105" s="13" t="str">
        <f t="shared" si="129"/>
        <v/>
      </c>
      <c r="DZ105" s="13" t="str">
        <f t="shared" si="129"/>
        <v/>
      </c>
      <c r="EA105" s="13" t="str">
        <f t="shared" si="129"/>
        <v/>
      </c>
      <c r="EB105" s="13" t="str">
        <f t="shared" si="129"/>
        <v/>
      </c>
      <c r="EC105" s="13" t="str">
        <f t="shared" si="129"/>
        <v/>
      </c>
      <c r="ED105" s="13" t="str">
        <f t="shared" si="129"/>
        <v/>
      </c>
      <c r="EE105" s="13" t="str">
        <f t="shared" si="129"/>
        <v/>
      </c>
      <c r="EF105" s="13" t="str">
        <f t="shared" si="129"/>
        <v/>
      </c>
      <c r="EG105" s="13" t="str">
        <f t="shared" si="129"/>
        <v/>
      </c>
      <c r="EH105" s="13" t="str">
        <f t="shared" si="129"/>
        <v/>
      </c>
    </row>
    <row r="107" spans="1:138">
      <c r="A107" s="58" t="s">
        <v>186</v>
      </c>
      <c r="B107" s="58"/>
      <c r="C107" s="58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S107" s="58"/>
      <c r="T107" s="58"/>
    </row>
    <row r="108" spans="1:138">
      <c r="A108" s="59" t="s">
        <v>187</v>
      </c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</row>
    <row r="109" spans="1:138">
      <c r="A109" s="60" t="s">
        <v>188</v>
      </c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</row>
    <row r="110" spans="1:138">
      <c r="A110" s="61" t="s">
        <v>189</v>
      </c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</row>
    <row r="111" spans="1:138">
      <c r="A111" s="62" t="s">
        <v>190</v>
      </c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</row>
  </sheetData>
  <mergeCells count="159">
    <mergeCell ref="A107:T107"/>
    <mergeCell ref="A108:T108"/>
    <mergeCell ref="A109:T109"/>
    <mergeCell ref="A110:T110"/>
    <mergeCell ref="A111:T111"/>
    <mergeCell ref="A99:EH99"/>
    <mergeCell ref="A100:A101"/>
    <mergeCell ref="B100:B101"/>
    <mergeCell ref="C100:C101"/>
    <mergeCell ref="A102:A103"/>
    <mergeCell ref="B102:B103"/>
    <mergeCell ref="C102:C103"/>
    <mergeCell ref="A104:A105"/>
    <mergeCell ref="B104:B105"/>
    <mergeCell ref="C104:C105"/>
    <mergeCell ref="A92:EH92"/>
    <mergeCell ref="A93:A94"/>
    <mergeCell ref="B93:B94"/>
    <mergeCell ref="C93:C94"/>
    <mergeCell ref="A95:A96"/>
    <mergeCell ref="B95:B96"/>
    <mergeCell ref="C95:C96"/>
    <mergeCell ref="A97:A98"/>
    <mergeCell ref="B97:B98"/>
    <mergeCell ref="C97:C98"/>
    <mergeCell ref="A86:A87"/>
    <mergeCell ref="B86:B87"/>
    <mergeCell ref="C86:C87"/>
    <mergeCell ref="A88:A89"/>
    <mergeCell ref="B88:B89"/>
    <mergeCell ref="C88:C89"/>
    <mergeCell ref="A90:A91"/>
    <mergeCell ref="B90:B91"/>
    <mergeCell ref="C90:C91"/>
    <mergeCell ref="A79:EH79"/>
    <mergeCell ref="A80:A81"/>
    <mergeCell ref="B80:B81"/>
    <mergeCell ref="C80:C81"/>
    <mergeCell ref="A82:A83"/>
    <mergeCell ref="B82:B83"/>
    <mergeCell ref="C82:C83"/>
    <mergeCell ref="A84:A85"/>
    <mergeCell ref="B84:B85"/>
    <mergeCell ref="C84:C85"/>
    <mergeCell ref="A73:A74"/>
    <mergeCell ref="B73:B74"/>
    <mergeCell ref="C73:C74"/>
    <mergeCell ref="A75:A76"/>
    <mergeCell ref="B75:B76"/>
    <mergeCell ref="C75:C76"/>
    <mergeCell ref="A77:A78"/>
    <mergeCell ref="B77:B78"/>
    <mergeCell ref="C77:C78"/>
    <mergeCell ref="A66:A67"/>
    <mergeCell ref="B66:B67"/>
    <mergeCell ref="C66:C67"/>
    <mergeCell ref="A68:EH68"/>
    <mergeCell ref="A69:A70"/>
    <mergeCell ref="B69:B70"/>
    <mergeCell ref="C69:C70"/>
    <mergeCell ref="A71:A72"/>
    <mergeCell ref="B71:B72"/>
    <mergeCell ref="C71:C72"/>
    <mergeCell ref="A60:A61"/>
    <mergeCell ref="B60:B61"/>
    <mergeCell ref="C60:C61"/>
    <mergeCell ref="A62:A63"/>
    <mergeCell ref="B62:B63"/>
    <mergeCell ref="C62:C63"/>
    <mergeCell ref="A64:A65"/>
    <mergeCell ref="B64:B65"/>
    <mergeCell ref="C64:C65"/>
    <mergeCell ref="A53:A54"/>
    <mergeCell ref="B53:B54"/>
    <mergeCell ref="C53:C54"/>
    <mergeCell ref="A55:EH55"/>
    <mergeCell ref="A56:A57"/>
    <mergeCell ref="B56:B57"/>
    <mergeCell ref="C56:C57"/>
    <mergeCell ref="A58:A59"/>
    <mergeCell ref="B58:B59"/>
    <mergeCell ref="C58:C59"/>
    <mergeCell ref="A47:A48"/>
    <mergeCell ref="B47:B48"/>
    <mergeCell ref="C47:C48"/>
    <mergeCell ref="A49:A50"/>
    <mergeCell ref="B49:B50"/>
    <mergeCell ref="C49:C50"/>
    <mergeCell ref="A51:A52"/>
    <mergeCell ref="B51:B52"/>
    <mergeCell ref="C51:C52"/>
    <mergeCell ref="A40:A41"/>
    <mergeCell ref="B40:B41"/>
    <mergeCell ref="C40:C41"/>
    <mergeCell ref="A42:EH42"/>
    <mergeCell ref="A43:A44"/>
    <mergeCell ref="B43:B44"/>
    <mergeCell ref="C43:C44"/>
    <mergeCell ref="A45:A46"/>
    <mergeCell ref="B45:B46"/>
    <mergeCell ref="C45:C46"/>
    <mergeCell ref="A33:A34"/>
    <mergeCell ref="B33:B34"/>
    <mergeCell ref="C33:C34"/>
    <mergeCell ref="A35:EH35"/>
    <mergeCell ref="A36:A37"/>
    <mergeCell ref="B36:B37"/>
    <mergeCell ref="C36:C37"/>
    <mergeCell ref="A38:A39"/>
    <mergeCell ref="B38:B39"/>
    <mergeCell ref="C38:C39"/>
    <mergeCell ref="A27:A28"/>
    <mergeCell ref="B27:B28"/>
    <mergeCell ref="C27:C28"/>
    <mergeCell ref="A29:A30"/>
    <mergeCell ref="B29:B30"/>
    <mergeCell ref="C29:C30"/>
    <mergeCell ref="A31:A32"/>
    <mergeCell ref="B31:B32"/>
    <mergeCell ref="C31:C32"/>
    <mergeCell ref="A20:EH20"/>
    <mergeCell ref="A21:A22"/>
    <mergeCell ref="B21:B22"/>
    <mergeCell ref="C21:C22"/>
    <mergeCell ref="A23:A24"/>
    <mergeCell ref="B23:B24"/>
    <mergeCell ref="C23:C24"/>
    <mergeCell ref="A25:A26"/>
    <mergeCell ref="B25:B26"/>
    <mergeCell ref="C25:C26"/>
    <mergeCell ref="A14:A15"/>
    <mergeCell ref="B14:B15"/>
    <mergeCell ref="C14:C15"/>
    <mergeCell ref="A16:A17"/>
    <mergeCell ref="B16:B17"/>
    <mergeCell ref="C16:C17"/>
    <mergeCell ref="A18:A19"/>
    <mergeCell ref="B18:B19"/>
    <mergeCell ref="C18:C19"/>
    <mergeCell ref="A7:A8"/>
    <mergeCell ref="B7:B8"/>
    <mergeCell ref="C7:C8"/>
    <mergeCell ref="A9:A10"/>
    <mergeCell ref="B9:B10"/>
    <mergeCell ref="C9:C10"/>
    <mergeCell ref="A11:EH11"/>
    <mergeCell ref="A12:A13"/>
    <mergeCell ref="B12:B13"/>
    <mergeCell ref="C12:C13"/>
    <mergeCell ref="A1:EH1"/>
    <mergeCell ref="G2:AK2"/>
    <mergeCell ref="AL2:BO2"/>
    <mergeCell ref="BP2:CT2"/>
    <mergeCell ref="CU2:DX2"/>
    <mergeCell ref="DY2:EH2"/>
    <mergeCell ref="A4:EH4"/>
    <mergeCell ref="A5:A6"/>
    <mergeCell ref="B5:B6"/>
    <mergeCell ref="C5:C6"/>
  </mergeCells>
  <conditionalFormatting sqref="G5:EH5">
    <cfRule type="cellIs" dxfId="104" priority="2" operator="equal">
      <formula>"▪"</formula>
    </cfRule>
  </conditionalFormatting>
  <conditionalFormatting sqref="G6:EH6">
    <cfRule type="cellIs" dxfId="103" priority="3" operator="equal">
      <formula>"▪"</formula>
    </cfRule>
  </conditionalFormatting>
  <conditionalFormatting sqref="G7:EH7">
    <cfRule type="cellIs" dxfId="102" priority="4" operator="equal">
      <formula>"▪"</formula>
    </cfRule>
  </conditionalFormatting>
  <conditionalFormatting sqref="G8:EH8">
    <cfRule type="cellIs" dxfId="101" priority="5" operator="equal">
      <formula>"▪"</formula>
    </cfRule>
  </conditionalFormatting>
  <conditionalFormatting sqref="G9:EH9">
    <cfRule type="cellIs" dxfId="100" priority="6" operator="equal">
      <formula>"▪"</formula>
    </cfRule>
  </conditionalFormatting>
  <conditionalFormatting sqref="G10:EH10">
    <cfRule type="cellIs" dxfId="99" priority="7" operator="equal">
      <formula>"▪"</formula>
    </cfRule>
  </conditionalFormatting>
  <conditionalFormatting sqref="G12:EH12">
    <cfRule type="cellIs" dxfId="98" priority="8" operator="equal">
      <formula>"▪"</formula>
    </cfRule>
  </conditionalFormatting>
  <conditionalFormatting sqref="G13:EH13">
    <cfRule type="cellIs" dxfId="97" priority="9" operator="equal">
      <formula>"▪"</formula>
    </cfRule>
  </conditionalFormatting>
  <conditionalFormatting sqref="G14:EH14">
    <cfRule type="cellIs" dxfId="96" priority="10" operator="equal">
      <formula>"▪"</formula>
    </cfRule>
  </conditionalFormatting>
  <conditionalFormatting sqref="G15:EH15">
    <cfRule type="cellIs" dxfId="95" priority="11" operator="equal">
      <formula>"▪"</formula>
    </cfRule>
  </conditionalFormatting>
  <conditionalFormatting sqref="G16:EH16">
    <cfRule type="cellIs" dxfId="94" priority="12" operator="equal">
      <formula>"▪"</formula>
    </cfRule>
  </conditionalFormatting>
  <conditionalFormatting sqref="G17:EH17">
    <cfRule type="cellIs" dxfId="93" priority="13" operator="equal">
      <formula>"▪"</formula>
    </cfRule>
  </conditionalFormatting>
  <conditionalFormatting sqref="G18:EH18">
    <cfRule type="cellIs" dxfId="92" priority="14" operator="equal">
      <formula>"▪"</formula>
    </cfRule>
  </conditionalFormatting>
  <conditionalFormatting sqref="G19:EH19">
    <cfRule type="cellIs" dxfId="91" priority="15" operator="equal">
      <formula>"▪"</formula>
    </cfRule>
  </conditionalFormatting>
  <conditionalFormatting sqref="G21:EH21">
    <cfRule type="cellIs" dxfId="90" priority="16" operator="equal">
      <formula>"▪"</formula>
    </cfRule>
  </conditionalFormatting>
  <conditionalFormatting sqref="G22:EH22">
    <cfRule type="cellIs" dxfId="89" priority="17" operator="equal">
      <formula>"▪"</formula>
    </cfRule>
  </conditionalFormatting>
  <conditionalFormatting sqref="G23:EH23">
    <cfRule type="cellIs" dxfId="88" priority="18" operator="equal">
      <formula>"▪"</formula>
    </cfRule>
  </conditionalFormatting>
  <conditionalFormatting sqref="G24:EH24">
    <cfRule type="cellIs" dxfId="87" priority="19" operator="equal">
      <formula>"▪"</formula>
    </cfRule>
  </conditionalFormatting>
  <conditionalFormatting sqref="G25:EH25">
    <cfRule type="cellIs" dxfId="86" priority="20" operator="equal">
      <formula>"▪"</formula>
    </cfRule>
  </conditionalFormatting>
  <conditionalFormatting sqref="G26:EH26">
    <cfRule type="cellIs" dxfId="85" priority="21" operator="equal">
      <formula>"▪"</formula>
    </cfRule>
  </conditionalFormatting>
  <conditionalFormatting sqref="G27:EH27">
    <cfRule type="cellIs" dxfId="84" priority="22" operator="equal">
      <formula>"▪"</formula>
    </cfRule>
  </conditionalFormatting>
  <conditionalFormatting sqref="G28:EH28">
    <cfRule type="cellIs" dxfId="83" priority="23" operator="equal">
      <formula>"▪"</formula>
    </cfRule>
  </conditionalFormatting>
  <conditionalFormatting sqref="G29:EH29">
    <cfRule type="cellIs" dxfId="82" priority="24" operator="equal">
      <formula>"▪"</formula>
    </cfRule>
  </conditionalFormatting>
  <conditionalFormatting sqref="G30:EH30">
    <cfRule type="cellIs" dxfId="81" priority="25" operator="equal">
      <formula>"▪"</formula>
    </cfRule>
  </conditionalFormatting>
  <conditionalFormatting sqref="G31:EH31">
    <cfRule type="cellIs" dxfId="80" priority="26" operator="equal">
      <formula>"▪"</formula>
    </cfRule>
  </conditionalFormatting>
  <conditionalFormatting sqref="G32:EH32">
    <cfRule type="cellIs" dxfId="79" priority="27" operator="equal">
      <formula>"▪"</formula>
    </cfRule>
  </conditionalFormatting>
  <conditionalFormatting sqref="G33:EH33">
    <cfRule type="cellIs" dxfId="78" priority="28" operator="equal">
      <formula>"▪"</formula>
    </cfRule>
  </conditionalFormatting>
  <conditionalFormatting sqref="G34:EH34">
    <cfRule type="cellIs" dxfId="77" priority="29" operator="equal">
      <formula>"▪"</formula>
    </cfRule>
  </conditionalFormatting>
  <conditionalFormatting sqref="G36:EH36">
    <cfRule type="cellIs" dxfId="76" priority="30" operator="equal">
      <formula>"▪"</formula>
    </cfRule>
  </conditionalFormatting>
  <conditionalFormatting sqref="G37:EH37">
    <cfRule type="cellIs" dxfId="75" priority="31" operator="equal">
      <formula>"▪"</formula>
    </cfRule>
  </conditionalFormatting>
  <conditionalFormatting sqref="G38:EH38">
    <cfRule type="cellIs" dxfId="74" priority="32" operator="equal">
      <formula>"▪"</formula>
    </cfRule>
  </conditionalFormatting>
  <conditionalFormatting sqref="G39:EH39">
    <cfRule type="cellIs" dxfId="73" priority="33" operator="equal">
      <formula>"▪"</formula>
    </cfRule>
  </conditionalFormatting>
  <conditionalFormatting sqref="G40:EH40">
    <cfRule type="cellIs" dxfId="72" priority="34" operator="equal">
      <formula>"▪"</formula>
    </cfRule>
  </conditionalFormatting>
  <conditionalFormatting sqref="G41:EH41">
    <cfRule type="cellIs" dxfId="71" priority="35" operator="equal">
      <formula>"▪"</formula>
    </cfRule>
  </conditionalFormatting>
  <conditionalFormatting sqref="G43:EH43">
    <cfRule type="cellIs" dxfId="70" priority="36" operator="equal">
      <formula>"▪"</formula>
    </cfRule>
  </conditionalFormatting>
  <conditionalFormatting sqref="G44:EH44">
    <cfRule type="cellIs" dxfId="69" priority="37" operator="equal">
      <formula>"▪"</formula>
    </cfRule>
  </conditionalFormatting>
  <conditionalFormatting sqref="G45:EH45">
    <cfRule type="cellIs" dxfId="68" priority="38" operator="equal">
      <formula>"▪"</formula>
    </cfRule>
  </conditionalFormatting>
  <conditionalFormatting sqref="G46:EH46">
    <cfRule type="cellIs" dxfId="67" priority="39" operator="equal">
      <formula>"▪"</formula>
    </cfRule>
  </conditionalFormatting>
  <conditionalFormatting sqref="G47:EH47">
    <cfRule type="cellIs" dxfId="66" priority="40" operator="equal">
      <formula>"▪"</formula>
    </cfRule>
  </conditionalFormatting>
  <conditionalFormatting sqref="G48:EH48">
    <cfRule type="cellIs" dxfId="65" priority="41" operator="equal">
      <formula>"▪"</formula>
    </cfRule>
  </conditionalFormatting>
  <conditionalFormatting sqref="G49:EH49">
    <cfRule type="cellIs" dxfId="64" priority="42" operator="equal">
      <formula>"▪"</formula>
    </cfRule>
  </conditionalFormatting>
  <conditionalFormatting sqref="G50:EH50">
    <cfRule type="cellIs" dxfId="63" priority="43" operator="equal">
      <formula>"▪"</formula>
    </cfRule>
  </conditionalFormatting>
  <conditionalFormatting sqref="G51:EH51">
    <cfRule type="cellIs" dxfId="62" priority="44" operator="equal">
      <formula>"▪"</formula>
    </cfRule>
  </conditionalFormatting>
  <conditionalFormatting sqref="G52:EH52">
    <cfRule type="cellIs" dxfId="61" priority="45" operator="equal">
      <formula>"▪"</formula>
    </cfRule>
  </conditionalFormatting>
  <conditionalFormatting sqref="G53:EH53">
    <cfRule type="cellIs" dxfId="60" priority="46" operator="equal">
      <formula>"▪"</formula>
    </cfRule>
  </conditionalFormatting>
  <conditionalFormatting sqref="G54:EH54">
    <cfRule type="cellIs" dxfId="59" priority="47" operator="equal">
      <formula>"▪"</formula>
    </cfRule>
  </conditionalFormatting>
  <conditionalFormatting sqref="G56:EH56">
    <cfRule type="cellIs" dxfId="58" priority="48" operator="equal">
      <formula>"▪"</formula>
    </cfRule>
  </conditionalFormatting>
  <conditionalFormatting sqref="G57:EH57">
    <cfRule type="cellIs" dxfId="57" priority="49" operator="equal">
      <formula>"▪"</formula>
    </cfRule>
  </conditionalFormatting>
  <conditionalFormatting sqref="G58:EH58">
    <cfRule type="cellIs" dxfId="56" priority="50" operator="equal">
      <formula>"▪"</formula>
    </cfRule>
  </conditionalFormatting>
  <conditionalFormatting sqref="G59:EH59">
    <cfRule type="cellIs" dxfId="55" priority="51" operator="equal">
      <formula>"▪"</formula>
    </cfRule>
  </conditionalFormatting>
  <conditionalFormatting sqref="G60:EH60">
    <cfRule type="cellIs" dxfId="54" priority="52" operator="equal">
      <formula>"▪"</formula>
    </cfRule>
  </conditionalFormatting>
  <conditionalFormatting sqref="G61:EH61">
    <cfRule type="cellIs" dxfId="53" priority="53" operator="equal">
      <formula>"▪"</formula>
    </cfRule>
  </conditionalFormatting>
  <conditionalFormatting sqref="G62:EH62">
    <cfRule type="cellIs" dxfId="52" priority="54" operator="equal">
      <formula>"▪"</formula>
    </cfRule>
  </conditionalFormatting>
  <conditionalFormatting sqref="G63:EH63">
    <cfRule type="cellIs" dxfId="51" priority="55" operator="equal">
      <formula>"▪"</formula>
    </cfRule>
  </conditionalFormatting>
  <conditionalFormatting sqref="G64:EH64">
    <cfRule type="cellIs" dxfId="50" priority="56" operator="equal">
      <formula>"▪"</formula>
    </cfRule>
  </conditionalFormatting>
  <conditionalFormatting sqref="G65:EH65">
    <cfRule type="cellIs" dxfId="49" priority="57" operator="equal">
      <formula>"▪"</formula>
    </cfRule>
  </conditionalFormatting>
  <conditionalFormatting sqref="G66:EH66">
    <cfRule type="cellIs" dxfId="48" priority="58" operator="equal">
      <formula>"▪"</formula>
    </cfRule>
  </conditionalFormatting>
  <conditionalFormatting sqref="G67:EH67">
    <cfRule type="cellIs" dxfId="47" priority="59" operator="equal">
      <formula>"▪"</formula>
    </cfRule>
  </conditionalFormatting>
  <conditionalFormatting sqref="G69:EH69">
    <cfRule type="cellIs" dxfId="46" priority="60" operator="equal">
      <formula>"▪"</formula>
    </cfRule>
  </conditionalFormatting>
  <conditionalFormatting sqref="G70:EH70">
    <cfRule type="cellIs" dxfId="45" priority="61" operator="equal">
      <formula>"▪"</formula>
    </cfRule>
  </conditionalFormatting>
  <conditionalFormatting sqref="G71:EH71">
    <cfRule type="cellIs" dxfId="44" priority="62" operator="equal">
      <formula>"▪"</formula>
    </cfRule>
  </conditionalFormatting>
  <conditionalFormatting sqref="G72:EH72">
    <cfRule type="cellIs" dxfId="43" priority="63" operator="equal">
      <formula>"▪"</formula>
    </cfRule>
  </conditionalFormatting>
  <conditionalFormatting sqref="G73:EH73">
    <cfRule type="cellIs" dxfId="42" priority="64" operator="equal">
      <formula>"▪"</formula>
    </cfRule>
  </conditionalFormatting>
  <conditionalFormatting sqref="G74:EH74">
    <cfRule type="cellIs" dxfId="41" priority="65" operator="equal">
      <formula>"▪"</formula>
    </cfRule>
  </conditionalFormatting>
  <conditionalFormatting sqref="G75:EH75">
    <cfRule type="cellIs" dxfId="40" priority="66" operator="equal">
      <formula>"▪"</formula>
    </cfRule>
  </conditionalFormatting>
  <conditionalFormatting sqref="G76:EH76">
    <cfRule type="cellIs" dxfId="39" priority="67" operator="equal">
      <formula>"▪"</formula>
    </cfRule>
  </conditionalFormatting>
  <conditionalFormatting sqref="G77:EH77">
    <cfRule type="cellIs" dxfId="38" priority="68" operator="equal">
      <formula>"▪"</formula>
    </cfRule>
  </conditionalFormatting>
  <conditionalFormatting sqref="G78:EH78">
    <cfRule type="cellIs" dxfId="37" priority="69" operator="equal">
      <formula>"▪"</formula>
    </cfRule>
  </conditionalFormatting>
  <conditionalFormatting sqref="G80:EH80">
    <cfRule type="cellIs" dxfId="36" priority="70" operator="equal">
      <formula>"▪"</formula>
    </cfRule>
  </conditionalFormatting>
  <conditionalFormatting sqref="G81:EH81">
    <cfRule type="cellIs" dxfId="35" priority="71" operator="equal">
      <formula>"▪"</formula>
    </cfRule>
  </conditionalFormatting>
  <conditionalFormatting sqref="G82:EH82">
    <cfRule type="cellIs" dxfId="34" priority="72" operator="equal">
      <formula>"▪"</formula>
    </cfRule>
  </conditionalFormatting>
  <conditionalFormatting sqref="G83:EH83">
    <cfRule type="cellIs" dxfId="33" priority="73" operator="equal">
      <formula>"▪"</formula>
    </cfRule>
  </conditionalFormatting>
  <conditionalFormatting sqref="G84:EH84">
    <cfRule type="cellIs" dxfId="32" priority="74" operator="equal">
      <formula>"▪"</formula>
    </cfRule>
  </conditionalFormatting>
  <conditionalFormatting sqref="G85:EH85">
    <cfRule type="cellIs" dxfId="31" priority="75" operator="equal">
      <formula>"▪"</formula>
    </cfRule>
  </conditionalFormatting>
  <conditionalFormatting sqref="G86:EH86">
    <cfRule type="cellIs" dxfId="30" priority="76" operator="equal">
      <formula>"▪"</formula>
    </cfRule>
  </conditionalFormatting>
  <conditionalFormatting sqref="G87:EH87">
    <cfRule type="cellIs" dxfId="29" priority="77" operator="equal">
      <formula>"▪"</formula>
    </cfRule>
  </conditionalFormatting>
  <conditionalFormatting sqref="G88:EH88">
    <cfRule type="cellIs" dxfId="28" priority="78" operator="equal">
      <formula>"▪"</formula>
    </cfRule>
  </conditionalFormatting>
  <conditionalFormatting sqref="G89:EH89">
    <cfRule type="cellIs" dxfId="27" priority="79" operator="equal">
      <formula>"▪"</formula>
    </cfRule>
  </conditionalFormatting>
  <conditionalFormatting sqref="G90:EH90">
    <cfRule type="cellIs" dxfId="26" priority="80" operator="equal">
      <formula>"▪"</formula>
    </cfRule>
  </conditionalFormatting>
  <conditionalFormatting sqref="G91:EH91">
    <cfRule type="cellIs" dxfId="25" priority="81" operator="equal">
      <formula>"▪"</formula>
    </cfRule>
  </conditionalFormatting>
  <conditionalFormatting sqref="G93:EH93">
    <cfRule type="cellIs" dxfId="24" priority="82" operator="equal">
      <formula>"▪"</formula>
    </cfRule>
  </conditionalFormatting>
  <conditionalFormatting sqref="G94:EH94">
    <cfRule type="cellIs" dxfId="23" priority="83" operator="equal">
      <formula>"▪"</formula>
    </cfRule>
  </conditionalFormatting>
  <conditionalFormatting sqref="G95:EH95">
    <cfRule type="cellIs" dxfId="22" priority="84" operator="equal">
      <formula>"▪"</formula>
    </cfRule>
  </conditionalFormatting>
  <conditionalFormatting sqref="G96:EH96">
    <cfRule type="cellIs" dxfId="21" priority="85" operator="equal">
      <formula>"▪"</formula>
    </cfRule>
  </conditionalFormatting>
  <conditionalFormatting sqref="G97:EH97">
    <cfRule type="cellIs" dxfId="20" priority="86" operator="equal">
      <formula>"▪"</formula>
    </cfRule>
  </conditionalFormatting>
  <conditionalFormatting sqref="G98:EH98">
    <cfRule type="cellIs" dxfId="19" priority="87" operator="equal">
      <formula>"▪"</formula>
    </cfRule>
  </conditionalFormatting>
  <conditionalFormatting sqref="G100:EH100">
    <cfRule type="cellIs" dxfId="18" priority="88" operator="equal">
      <formula>"▪"</formula>
    </cfRule>
  </conditionalFormatting>
  <conditionalFormatting sqref="G101:EH101">
    <cfRule type="cellIs" dxfId="17" priority="89" operator="equal">
      <formula>"▪"</formula>
    </cfRule>
  </conditionalFormatting>
  <conditionalFormatting sqref="G102:EH102">
    <cfRule type="cellIs" dxfId="16" priority="90" operator="equal">
      <formula>"▪"</formula>
    </cfRule>
  </conditionalFormatting>
  <conditionalFormatting sqref="G103:EH103">
    <cfRule type="cellIs" dxfId="15" priority="91" operator="equal">
      <formula>"▪"</formula>
    </cfRule>
  </conditionalFormatting>
  <conditionalFormatting sqref="G104:EH104">
    <cfRule type="cellIs" dxfId="14" priority="92" operator="equal">
      <formula>"▪"</formula>
    </cfRule>
  </conditionalFormatting>
  <conditionalFormatting sqref="G105:EH105">
    <cfRule type="cellIs" dxfId="13" priority="93" operator="equal">
      <formula>"▪"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4"/>
  <sheetViews>
    <sheetView showGridLines="0" zoomScaleNormal="100" workbookViewId="0">
      <selection activeCell="B12" sqref="B12"/>
    </sheetView>
  </sheetViews>
  <sheetFormatPr defaultColWidth="8.5703125" defaultRowHeight="14.45"/>
  <cols>
    <col min="1" max="1" width="7" customWidth="1"/>
    <col min="2" max="2" width="44" customWidth="1"/>
    <col min="3" max="3" width="16" customWidth="1"/>
    <col min="4" max="4" width="12" customWidth="1"/>
    <col min="5" max="6" width="13" customWidth="1"/>
    <col min="7" max="7" width="11" customWidth="1"/>
    <col min="8" max="8" width="18" customWidth="1"/>
  </cols>
  <sheetData>
    <row r="1" spans="1:8" ht="27.75" customHeight="1">
      <c r="A1" s="63" t="s">
        <v>191</v>
      </c>
      <c r="B1" s="63"/>
      <c r="C1" s="63"/>
      <c r="D1" s="63"/>
      <c r="E1" s="63"/>
      <c r="F1" s="63"/>
      <c r="G1" s="63"/>
      <c r="H1" s="63"/>
    </row>
    <row r="2" spans="1:8" ht="6" customHeight="1">
      <c r="A2" s="76"/>
      <c r="B2" s="76"/>
      <c r="C2" s="76"/>
      <c r="D2" s="76"/>
      <c r="E2" s="76"/>
      <c r="F2" s="76"/>
      <c r="G2" s="76"/>
      <c r="H2" s="76"/>
    </row>
    <row r="4" spans="1:8" ht="30" customHeight="1">
      <c r="A4" s="5" t="s">
        <v>69</v>
      </c>
      <c r="B4" s="5" t="s">
        <v>192</v>
      </c>
      <c r="C4" s="5" t="s">
        <v>193</v>
      </c>
      <c r="D4" s="5" t="s">
        <v>194</v>
      </c>
      <c r="E4" s="5" t="s">
        <v>195</v>
      </c>
      <c r="F4" s="5" t="s">
        <v>196</v>
      </c>
      <c r="G4" s="5" t="s">
        <v>197</v>
      </c>
      <c r="H4" s="5" t="s">
        <v>198</v>
      </c>
    </row>
    <row r="5" spans="1:8">
      <c r="A5" s="14" t="str">
        <f>Cronograma!A5</f>
        <v>1.1</v>
      </c>
      <c r="B5" s="4" t="str">
        <f>Cronograma!B5</f>
        <v>Reunião de abertura do projeto (kickoff)</v>
      </c>
      <c r="C5" s="15" t="s">
        <v>199</v>
      </c>
      <c r="D5" s="16">
        <f>Cronograma!E5</f>
        <v>46249</v>
      </c>
      <c r="E5" s="16">
        <f>Cronograma!F5</f>
        <v>46249</v>
      </c>
      <c r="F5" s="17">
        <f>IF(AND(Cronograma!E5&lt;&gt;"",Cronograma!F5&lt;&gt;""),Cronograma!F5-Cronograma!E5+1,"")</f>
        <v>1</v>
      </c>
      <c r="G5" s="17" t="str">
        <f>IF(AND(Cronograma!E6&lt;&gt;"",Cronograma!F6&lt;&gt;""),"Sim","Não")</f>
        <v>Sim</v>
      </c>
      <c r="H5" s="7" t="str">
        <f>IF(AND(Cronograma!F6&lt;&gt;"",Cronograma!F5&lt;&gt;""),IF(Cronograma!F6&gt;Cronograma!F5,"⚠ Atrasado",IF(Cronograma!F6&lt;Cronograma!F5,"✓ Adiantado","✓ No prazo")),"– Pendente")</f>
        <v>✓ No prazo</v>
      </c>
    </row>
    <row r="6" spans="1:8">
      <c r="A6" s="14" t="str">
        <f>Cronograma!A7</f>
        <v>1.2</v>
      </c>
      <c r="B6" s="4" t="str">
        <f>Cronograma!B7</f>
        <v>Apresentação das regras da competição</v>
      </c>
      <c r="C6" s="15" t="s">
        <v>76</v>
      </c>
      <c r="D6" s="16">
        <f>Cronograma!E7</f>
        <v>46249</v>
      </c>
      <c r="E6" s="16">
        <f>Cronograma!F7</f>
        <v>46250</v>
      </c>
      <c r="F6" s="17">
        <f>IF(AND(Cronograma!E7&lt;&gt;"",Cronograma!F7&lt;&gt;""),Cronograma!F7-Cronograma!E7+1,"")</f>
        <v>2</v>
      </c>
      <c r="G6" s="17" t="str">
        <f>IF(AND(Cronograma!E8&lt;&gt;"",Cronograma!F8&lt;&gt;""),"Sim","Não")</f>
        <v>Sim</v>
      </c>
      <c r="H6" s="7" t="str">
        <f>IF(AND(Cronograma!F8&lt;&gt;"",Cronograma!F7&lt;&gt;""),IF(Cronograma!F8&gt;Cronograma!F7,"⚠ Atrasado",IF(Cronograma!F8&lt;Cronograma!F7,"✓ Adiantado","✓ No prazo")),"– Pendente")</f>
        <v>✓ Adiantado</v>
      </c>
    </row>
    <row r="7" spans="1:8">
      <c r="A7" s="14" t="str">
        <f>Cronograma!A9</f>
        <v>1.3</v>
      </c>
      <c r="B7" s="4" t="str">
        <f>Cronograma!B9</f>
        <v>Formação das equipes e definição de funções</v>
      </c>
      <c r="C7" s="15" t="s">
        <v>76</v>
      </c>
      <c r="D7" s="16">
        <f>Cronograma!E9</f>
        <v>46249</v>
      </c>
      <c r="E7" s="16">
        <f>Cronograma!F9</f>
        <v>46249</v>
      </c>
      <c r="F7" s="17">
        <f>IF(AND(Cronograma!E9&lt;&gt;"",Cronograma!F9&lt;&gt;""),Cronograma!F9-Cronograma!E9+1,"")</f>
        <v>1</v>
      </c>
      <c r="G7" s="17" t="str">
        <f>IF(AND(Cronograma!E10&lt;&gt;"",Cronograma!F10&lt;&gt;""),"Sim","Não")</f>
        <v>Sim</v>
      </c>
      <c r="H7" s="7" t="str">
        <f>IF(AND(Cronograma!F10&lt;&gt;"",Cronograma!F9&lt;&gt;""),IF(Cronograma!F10&gt;Cronograma!F9,"⚠ Atrasado",IF(Cronograma!F10&lt;Cronograma!F9,"✓ Adiantado","✓ No prazo")),"– Pendente")</f>
        <v>✓ No prazo</v>
      </c>
    </row>
    <row r="8" spans="1:8">
      <c r="A8" s="14" t="str">
        <f>Cronograma!A12</f>
        <v>2.1</v>
      </c>
      <c r="B8" s="4" t="str">
        <f>Cronograma!B12</f>
        <v>Pesquisa sobre robôs desviadores de obstáculos</v>
      </c>
      <c r="C8" s="15" t="s">
        <v>76</v>
      </c>
      <c r="D8" s="16">
        <f>Cronograma!E12</f>
        <v>46249</v>
      </c>
      <c r="E8" s="16">
        <f>Cronograma!F12</f>
        <v>46253</v>
      </c>
      <c r="F8" s="17">
        <f>IF(AND(Cronograma!E12&lt;&gt;"",Cronograma!F12&lt;&gt;""),Cronograma!F12-Cronograma!E12+1,"")</f>
        <v>5</v>
      </c>
      <c r="G8" s="17" t="str">
        <f>IF(AND(Cronograma!E13&lt;&gt;"",Cronograma!F13&lt;&gt;""),"Sim","Não")</f>
        <v>Sim</v>
      </c>
      <c r="H8" s="7" t="str">
        <f>IF(AND(Cronograma!F13&lt;&gt;"",Cronograma!F12&lt;&gt;""),IF(Cronograma!F13&gt;Cronograma!F12,"⚠ Atrasado",IF(Cronograma!F13&lt;Cronograma!F12,"✓ Adiantado","✓ No prazo")),"– Pendente")</f>
        <v>⚠ Atrasado</v>
      </c>
    </row>
    <row r="9" spans="1:8">
      <c r="A9" s="14" t="str">
        <f>Cronograma!A14</f>
        <v>2.2</v>
      </c>
      <c r="B9" s="4" t="str">
        <f>Cronograma!B14</f>
        <v>Estudo do Arduino, sensores e servomotor</v>
      </c>
      <c r="C9" s="15" t="s">
        <v>88</v>
      </c>
      <c r="D9" s="16">
        <f>Cronograma!E14</f>
        <v>46254</v>
      </c>
      <c r="E9" s="16">
        <f>Cronograma!F14</f>
        <v>46258</v>
      </c>
      <c r="F9" s="17">
        <f>IF(AND(Cronograma!E14&lt;&gt;"",Cronograma!F14&lt;&gt;""),Cronograma!F14-Cronograma!E14+1,"")</f>
        <v>5</v>
      </c>
      <c r="G9" s="17" t="str">
        <f>IF(AND(Cronograma!E15&lt;&gt;"",Cronograma!F15&lt;&gt;""),"Sim","Não")</f>
        <v>Sim</v>
      </c>
      <c r="H9" s="7" t="str">
        <f>IF(AND(Cronograma!F15&lt;&gt;"",Cronograma!F14&lt;&gt;""),IF(Cronograma!F15&gt;Cronograma!F14,"⚠ Atrasado",IF(Cronograma!F15&lt;Cronograma!F14,"✓ Adiantado","✓ No prazo")),"– Pendente")</f>
        <v>⚠ Atrasado</v>
      </c>
    </row>
    <row r="10" spans="1:8">
      <c r="A10" s="14" t="str">
        <f>Cronograma!A16</f>
        <v>2.3</v>
      </c>
      <c r="B10" s="4" t="str">
        <f>Cronograma!B16</f>
        <v>Definição dos requisitos funcionais</v>
      </c>
      <c r="C10" s="15" t="s">
        <v>200</v>
      </c>
      <c r="D10" s="16">
        <f>Cronograma!E16</f>
        <v>46258</v>
      </c>
      <c r="E10" s="16">
        <f>Cronograma!F16</f>
        <v>46260</v>
      </c>
      <c r="F10" s="17">
        <f>IF(AND(Cronograma!E16&lt;&gt;"",Cronograma!F16&lt;&gt;""),Cronograma!F16-Cronograma!E16+1,"")</f>
        <v>3</v>
      </c>
      <c r="G10" s="17" t="str">
        <f>IF(AND(Cronograma!E17&lt;&gt;"",Cronograma!F17&lt;&gt;""),"Sim","Não")</f>
        <v>Sim</v>
      </c>
      <c r="H10" s="7" t="str">
        <f>IF(AND(Cronograma!F17&lt;&gt;"",Cronograma!F16&lt;&gt;""),IF(Cronograma!F17&gt;Cronograma!F16,"⚠ Atrasado",IF(Cronograma!F17&lt;Cronograma!F16,"✓ Adiantado","✓ No prazo")),"– Pendente")</f>
        <v>⚠ Atrasado</v>
      </c>
    </row>
    <row r="11" spans="1:8">
      <c r="A11" s="14" t="str">
        <f>Cronograma!A18</f>
        <v>2.4</v>
      </c>
      <c r="B11" s="4" t="str">
        <f>Cronograma!B18</f>
        <v>Lista de materiais (BOM)</v>
      </c>
      <c r="C11" s="15" t="s">
        <v>201</v>
      </c>
      <c r="D11" s="16">
        <f>Cronograma!E18</f>
        <v>46261</v>
      </c>
      <c r="E11" s="16">
        <f>Cronograma!F18</f>
        <v>46262</v>
      </c>
      <c r="F11" s="17">
        <f>IF(AND(Cronograma!E18&lt;&gt;"",Cronograma!F18&lt;&gt;""),Cronograma!F18-Cronograma!E18+1,"")</f>
        <v>2</v>
      </c>
      <c r="G11" s="17" t="str">
        <f>IF(AND(Cronograma!E19&lt;&gt;"",Cronograma!F19&lt;&gt;""),"Sim","Não")</f>
        <v>Sim</v>
      </c>
      <c r="H11" s="7" t="str">
        <f>IF(AND(Cronograma!F19&lt;&gt;"",Cronograma!F18&lt;&gt;""),IF(Cronograma!F19&gt;Cronograma!F18,"⚠ Atrasado",IF(Cronograma!F19&lt;Cronograma!F18,"✓ Adiantado","✓ No prazo")),"– Pendente")</f>
        <v>⚠ Atrasado</v>
      </c>
    </row>
    <row r="12" spans="1:8">
      <c r="A12" s="14" t="str">
        <f>Cronograma!A21</f>
        <v>3.1</v>
      </c>
      <c r="B12" s="4" t="str">
        <f>Cronograma!B21</f>
        <v>Projeto conceitual do chassi (croqui)</v>
      </c>
      <c r="C12" s="15" t="s">
        <v>93</v>
      </c>
      <c r="D12" s="16">
        <f>Cronograma!E21</f>
        <v>46256</v>
      </c>
      <c r="E12" s="16">
        <f>Cronograma!F21</f>
        <v>46260</v>
      </c>
      <c r="F12" s="17">
        <f>IF(AND(Cronograma!E21&lt;&gt;"",Cronograma!F21&lt;&gt;""),Cronograma!F21-Cronograma!E21+1,"")</f>
        <v>5</v>
      </c>
      <c r="G12" s="17" t="str">
        <f>IF(AND(Cronograma!E22&lt;&gt;"",Cronograma!F22&lt;&gt;""),"Sim","Não")</f>
        <v>Sim</v>
      </c>
      <c r="H12" s="7" t="str">
        <f>IF(AND(Cronograma!F22&lt;&gt;"",Cronograma!F21&lt;&gt;""),IF(Cronograma!F22&gt;Cronograma!F21,"⚠ Atrasado",IF(Cronograma!F22&lt;Cronograma!F21,"✓ Adiantado","✓ No prazo")),"– Pendente")</f>
        <v>⚠ Atrasado</v>
      </c>
    </row>
    <row r="13" spans="1:8">
      <c r="A13" s="14" t="str">
        <f>Cronograma!A23</f>
        <v>3.2</v>
      </c>
      <c r="B13" s="4" t="str">
        <f>Cronograma!B23</f>
        <v>Molde em papel cartão (estudo prévio)</v>
      </c>
      <c r="C13" s="15" t="s">
        <v>99</v>
      </c>
      <c r="D13" s="16">
        <f>Cronograma!E23</f>
        <v>46261</v>
      </c>
      <c r="E13" s="16">
        <f>Cronograma!F23</f>
        <v>46262</v>
      </c>
      <c r="F13" s="17">
        <f>IF(AND(Cronograma!E23&lt;&gt;"",Cronograma!F23&lt;&gt;""),Cronograma!F23-Cronograma!E23+1,"")</f>
        <v>2</v>
      </c>
      <c r="G13" s="17" t="str">
        <f>IF(AND(Cronograma!E24&lt;&gt;"",Cronograma!F24&lt;&gt;""),"Sim","Não")</f>
        <v>Sim</v>
      </c>
      <c r="H13" s="7" t="str">
        <f>IF(AND(Cronograma!F24&lt;&gt;"",Cronograma!F23&lt;&gt;""),IF(Cronograma!F24&gt;Cronograma!F23,"⚠ Atrasado",IF(Cronograma!F24&lt;Cronograma!F23,"✓ Adiantado","✓ No prazo")),"– Pendente")</f>
        <v>⚠ Atrasado</v>
      </c>
    </row>
    <row r="14" spans="1:8">
      <c r="A14" s="14" t="str">
        <f>Cronograma!A25</f>
        <v>3.3</v>
      </c>
      <c r="B14" s="4" t="str">
        <f>Cronograma!B25</f>
        <v>Validação do molde e ajustes</v>
      </c>
      <c r="C14" s="15" t="s">
        <v>102</v>
      </c>
      <c r="D14" s="16">
        <f>Cronograma!E25</f>
        <v>46265</v>
      </c>
      <c r="E14" s="16">
        <f>Cronograma!F25</f>
        <v>46266</v>
      </c>
      <c r="F14" s="17">
        <f>IF(AND(Cronograma!E25&lt;&gt;"",Cronograma!F25&lt;&gt;""),Cronograma!F25-Cronograma!E25+1,"")</f>
        <v>2</v>
      </c>
      <c r="G14" s="17" t="str">
        <f>IF(AND(Cronograma!E26&lt;&gt;"",Cronograma!F26&lt;&gt;""),"Sim","Não")</f>
        <v>Sim</v>
      </c>
      <c r="H14" s="7" t="str">
        <f>IF(AND(Cronograma!F26&lt;&gt;"",Cronograma!F25&lt;&gt;""),IF(Cronograma!F26&gt;Cronograma!F25,"⚠ Atrasado",IF(Cronograma!F26&lt;Cronograma!F25,"✓ Adiantado","✓ No prazo")),"– Pendente")</f>
        <v>⚠ Atrasado</v>
      </c>
    </row>
    <row r="15" spans="1:8">
      <c r="A15" s="14" t="str">
        <f>Cronograma!A27</f>
        <v>3.4</v>
      </c>
      <c r="B15" s="4" t="str">
        <f>Cronograma!B27</f>
        <v>Desenho final do chassi (para corte MDF ou acrílico)</v>
      </c>
      <c r="C15" s="15" t="s">
        <v>104</v>
      </c>
      <c r="D15" s="16">
        <f>Cronograma!E27</f>
        <v>46267</v>
      </c>
      <c r="E15" s="16">
        <f>Cronograma!F27</f>
        <v>46270</v>
      </c>
      <c r="F15" s="17">
        <f>IF(AND(Cronograma!E27&lt;&gt;"",Cronograma!F27&lt;&gt;""),Cronograma!F27-Cronograma!E27+1,"")</f>
        <v>4</v>
      </c>
      <c r="G15" s="17" t="str">
        <f>IF(AND(Cronograma!E28&lt;&gt;"",Cronograma!F28&lt;&gt;""),"Sim","Não")</f>
        <v>Sim</v>
      </c>
      <c r="H15" s="7" t="str">
        <f>IF(AND(Cronograma!F28&lt;&gt;"",Cronograma!F27&lt;&gt;""),IF(Cronograma!F28&gt;Cronograma!F27,"⚠ Atrasado",IF(Cronograma!F28&lt;Cronograma!F27,"✓ Adiantado","✓ No prazo")),"– Pendente")</f>
        <v>⚠ Atrasado</v>
      </c>
    </row>
    <row r="16" spans="1:8" ht="23.1">
      <c r="A16" s="14" t="str">
        <f>Cronograma!A29</f>
        <v>3.5</v>
      </c>
      <c r="B16" s="4" t="str">
        <f>Cronograma!B29</f>
        <v>Projeto do suporte do servomotor e do sensor ultrassônico (para corte MDF ou acrílico)</v>
      </c>
      <c r="C16" s="15" t="s">
        <v>106</v>
      </c>
      <c r="D16" s="16">
        <f>Cronograma!E29</f>
        <v>46272</v>
      </c>
      <c r="E16" s="16">
        <f>Cronograma!F29</f>
        <v>46274</v>
      </c>
      <c r="F16" s="17">
        <f>IF(AND(Cronograma!E29&lt;&gt;"",Cronograma!F29&lt;&gt;""),Cronograma!F29-Cronograma!E29+1,"")</f>
        <v>3</v>
      </c>
      <c r="G16" s="17" t="str">
        <f>IF(AND(Cronograma!E30&lt;&gt;"",Cronograma!F30&lt;&gt;""),"Sim","Não")</f>
        <v>Não</v>
      </c>
      <c r="H16" s="7" t="str">
        <f>IF(AND(Cronograma!F30&lt;&gt;"",Cronograma!F29&lt;&gt;""),IF(Cronograma!F30&gt;Cronograma!F29,"⚠ Atrasado",IF(Cronograma!F30&lt;Cronograma!F29,"✓ Adiantado","✓ No prazo")),"– Pendente")</f>
        <v>– Pendente</v>
      </c>
    </row>
    <row r="17" spans="1:8">
      <c r="A17" s="14" t="str">
        <f>Cronograma!A31</f>
        <v>3.6</v>
      </c>
      <c r="B17" s="4" t="str">
        <f>Cronograma!B31</f>
        <v>Revisão técnica do chassi</v>
      </c>
      <c r="C17" s="15" t="s">
        <v>108</v>
      </c>
      <c r="D17" s="16">
        <f>Cronograma!E31</f>
        <v>46275</v>
      </c>
      <c r="E17" s="16">
        <f>Cronograma!F31</f>
        <v>46276</v>
      </c>
      <c r="F17" s="17">
        <f>IF(AND(Cronograma!E31&lt;&gt;"",Cronograma!F31&lt;&gt;""),Cronograma!F31-Cronograma!E31+1,"")</f>
        <v>2</v>
      </c>
      <c r="G17" s="17" t="str">
        <f>IF(AND(Cronograma!E32&lt;&gt;"",Cronograma!F32&lt;&gt;""),"Sim","Não")</f>
        <v>Sim</v>
      </c>
      <c r="H17" s="7" t="str">
        <f>IF(AND(Cronograma!F32&lt;&gt;"",Cronograma!F31&lt;&gt;""),IF(Cronograma!F32&gt;Cronograma!F31,"⚠ Atrasado",IF(Cronograma!F32&lt;Cronograma!F31,"✓ Adiantado","✓ No prazo")),"– Pendente")</f>
        <v>✓ No prazo</v>
      </c>
    </row>
    <row r="18" spans="1:8">
      <c r="A18" s="14" t="str">
        <f>Cronograma!A33</f>
        <v>3.7</v>
      </c>
      <c r="B18" s="4" t="str">
        <f>Cronograma!B33</f>
        <v>Preparação dos arquivos para corte</v>
      </c>
      <c r="C18" s="15" t="s">
        <v>110</v>
      </c>
      <c r="D18" s="16">
        <f>Cronograma!E33</f>
        <v>46277</v>
      </c>
      <c r="E18" s="16">
        <f>Cronograma!F33</f>
        <v>46277</v>
      </c>
      <c r="F18" s="17">
        <f>IF(AND(Cronograma!E33&lt;&gt;"",Cronograma!F33&lt;&gt;""),Cronograma!F33-Cronograma!E33+1,"")</f>
        <v>1</v>
      </c>
      <c r="G18" s="17" t="str">
        <f>IF(AND(Cronograma!E34&lt;&gt;"",Cronograma!F34&lt;&gt;""),"Sim","Não")</f>
        <v>Sim</v>
      </c>
      <c r="H18" s="7" t="str">
        <f>IF(AND(Cronograma!F34&lt;&gt;"",Cronograma!F33&lt;&gt;""),IF(Cronograma!F34&gt;Cronograma!F33,"⚠ Atrasado",IF(Cronograma!F34&lt;Cronograma!F33,"✓ Adiantado","✓ No prazo")),"– Pendente")</f>
        <v>✓ Adiantado</v>
      </c>
    </row>
    <row r="19" spans="1:8">
      <c r="A19" s="14" t="str">
        <f>Cronograma!A36</f>
        <v>4.1</v>
      </c>
      <c r="B19" s="4" t="str">
        <f>Cronograma!B36</f>
        <v>Cotação de componentes</v>
      </c>
      <c r="C19" s="15" t="s">
        <v>96</v>
      </c>
      <c r="D19" s="16">
        <f>Cronograma!E36</f>
        <v>46256</v>
      </c>
      <c r="E19" s="16">
        <f>Cronograma!F36</f>
        <v>46267</v>
      </c>
      <c r="F19" s="17">
        <f>IF(AND(Cronograma!E36&lt;&gt;"",Cronograma!F36&lt;&gt;""),Cronograma!F36-Cronograma!E36+1,"")</f>
        <v>12</v>
      </c>
      <c r="G19" s="17" t="str">
        <f>IF(AND(Cronograma!E37&lt;&gt;"",Cronograma!F37&lt;&gt;""),"Sim","Não")</f>
        <v>Sim</v>
      </c>
      <c r="H19" s="7" t="str">
        <f>IF(AND(Cronograma!F37&lt;&gt;"",Cronograma!F36&lt;&gt;""),IF(Cronograma!F37&gt;Cronograma!F36,"⚠ Atrasado",IF(Cronograma!F37&lt;Cronograma!F36,"✓ Adiantado","✓ No prazo")),"– Pendente")</f>
        <v>✓ Adiantado</v>
      </c>
    </row>
    <row r="20" spans="1:8">
      <c r="A20" s="14" t="str">
        <f>Cronograma!A38</f>
        <v>4.2</v>
      </c>
      <c r="B20" s="4" t="str">
        <f>Cronograma!B38</f>
        <v>Compra dos componentes (inclui servomotor)</v>
      </c>
      <c r="C20" s="15" t="s">
        <v>115</v>
      </c>
      <c r="D20" s="16">
        <f>Cronograma!E38</f>
        <v>46268</v>
      </c>
      <c r="E20" s="16">
        <f>Cronograma!F38</f>
        <v>46276</v>
      </c>
      <c r="F20" s="17">
        <f>IF(AND(Cronograma!E38&lt;&gt;"",Cronograma!F38&lt;&gt;""),Cronograma!F38-Cronograma!E38+1,"")</f>
        <v>9</v>
      </c>
      <c r="G20" s="17" t="str">
        <f>IF(AND(Cronograma!E39&lt;&gt;"",Cronograma!F39&lt;&gt;""),"Sim","Não")</f>
        <v>Sim</v>
      </c>
      <c r="H20" s="7" t="str">
        <f>IF(AND(Cronograma!F39&lt;&gt;"",Cronograma!F38&lt;&gt;""),IF(Cronograma!F39&gt;Cronograma!F38,"⚠ Atrasado",IF(Cronograma!F39&lt;Cronograma!F38,"✓ Adiantado","✓ No prazo")),"– Pendente")</f>
        <v>✓ Adiantado</v>
      </c>
    </row>
    <row r="21" spans="1:8">
      <c r="A21" s="14" t="str">
        <f>Cronograma!A40</f>
        <v>4.3</v>
      </c>
      <c r="B21" s="4" t="str">
        <f>Cronograma!B40</f>
        <v>Recebimento e conferência do material</v>
      </c>
      <c r="C21" s="15" t="s">
        <v>117</v>
      </c>
      <c r="D21" s="16">
        <f>Cronograma!E40</f>
        <v>46277</v>
      </c>
      <c r="E21" s="16">
        <f>Cronograma!F40</f>
        <v>46279</v>
      </c>
      <c r="F21" s="17">
        <f>IF(AND(Cronograma!E40&lt;&gt;"",Cronograma!F40&lt;&gt;""),Cronograma!F40-Cronograma!E40+1,"")</f>
        <v>3</v>
      </c>
      <c r="G21" s="17" t="str">
        <f>IF(AND(Cronograma!E41&lt;&gt;"",Cronograma!F41&lt;&gt;""),"Sim","Não")</f>
        <v>Sim</v>
      </c>
      <c r="H21" s="7" t="str">
        <f>IF(AND(Cronograma!F41&lt;&gt;"",Cronograma!F40&lt;&gt;""),IF(Cronograma!F41&gt;Cronograma!F40,"⚠ Atrasado",IF(Cronograma!F41&lt;Cronograma!F40,"✓ Adiantado","✓ No prazo")),"– Pendente")</f>
        <v>✓ Adiantado</v>
      </c>
    </row>
    <row r="22" spans="1:8">
      <c r="A22" s="14" t="str">
        <f>Cronograma!A43</f>
        <v>5.1</v>
      </c>
      <c r="B22" s="4" t="str">
        <f>Cronograma!B43</f>
        <v>Corte do chassi em MDF/acrílico</v>
      </c>
      <c r="C22" s="15" t="s">
        <v>202</v>
      </c>
      <c r="D22" s="16">
        <f>Cronograma!E43</f>
        <v>46280</v>
      </c>
      <c r="E22" s="16">
        <f>Cronograma!F43</f>
        <v>46281</v>
      </c>
      <c r="F22" s="17">
        <f>IF(AND(Cronograma!E43&lt;&gt;"",Cronograma!F43&lt;&gt;""),Cronograma!F43-Cronograma!E43+1,"")</f>
        <v>2</v>
      </c>
      <c r="G22" s="17" t="str">
        <f>IF(AND(Cronograma!E44&lt;&gt;"",Cronograma!F44&lt;&gt;""),"Sim","Não")</f>
        <v>Sim</v>
      </c>
      <c r="H22" s="7" t="str">
        <f>IF(AND(Cronograma!F44&lt;&gt;"",Cronograma!F43&lt;&gt;""),IF(Cronograma!F44&gt;Cronograma!F43,"⚠ Atrasado",IF(Cronograma!F44&lt;Cronograma!F43,"✓ Adiantado","✓ No prazo")),"– Pendente")</f>
        <v>✓ Adiantado</v>
      </c>
    </row>
    <row r="23" spans="1:8">
      <c r="A23" s="14" t="str">
        <f>Cronograma!A45</f>
        <v>5.2</v>
      </c>
      <c r="B23" s="4" t="str">
        <f>Cronograma!B45</f>
        <v>Conferência das peças cortadas</v>
      </c>
      <c r="C23" s="15" t="s">
        <v>122</v>
      </c>
      <c r="D23" s="16">
        <f>Cronograma!E45</f>
        <v>46282</v>
      </c>
      <c r="E23" s="16">
        <f>Cronograma!F45</f>
        <v>46282</v>
      </c>
      <c r="F23" s="17">
        <f>IF(AND(Cronograma!E45&lt;&gt;"",Cronograma!F45&lt;&gt;""),Cronograma!F45-Cronograma!E45+1,"")</f>
        <v>1</v>
      </c>
      <c r="G23" s="17" t="str">
        <f>IF(AND(Cronograma!E46&lt;&gt;"",Cronograma!F46&lt;&gt;""),"Sim","Não")</f>
        <v>Sim</v>
      </c>
      <c r="H23" s="7" t="str">
        <f>IF(AND(Cronograma!F46&lt;&gt;"",Cronograma!F45&lt;&gt;""),IF(Cronograma!F46&gt;Cronograma!F45,"⚠ Atrasado",IF(Cronograma!F46&lt;Cronograma!F45,"✓ Adiantado","✓ No prazo")),"– Pendente")</f>
        <v>✓ Adiantado</v>
      </c>
    </row>
    <row r="24" spans="1:8">
      <c r="A24" s="14" t="str">
        <f>Cronograma!A47</f>
        <v>5.3</v>
      </c>
      <c r="B24" s="4" t="str">
        <f>Cronograma!B47</f>
        <v>Montagem mecânica (motores, rodas)</v>
      </c>
      <c r="C24" s="15" t="s">
        <v>124</v>
      </c>
      <c r="D24" s="16">
        <f>Cronograma!E47</f>
        <v>46283</v>
      </c>
      <c r="E24" s="16">
        <f>Cronograma!F47</f>
        <v>46287</v>
      </c>
      <c r="F24" s="17">
        <f>IF(AND(Cronograma!E47&lt;&gt;"",Cronograma!F47&lt;&gt;""),Cronograma!F47-Cronograma!E47+1,"")</f>
        <v>5</v>
      </c>
      <c r="G24" s="17" t="str">
        <f>IF(AND(Cronograma!E48&lt;&gt;"",Cronograma!F48&lt;&gt;""),"Sim","Não")</f>
        <v>Sim</v>
      </c>
      <c r="H24" s="7" t="str">
        <f>IF(AND(Cronograma!F48&lt;&gt;"",Cronograma!F47&lt;&gt;""),IF(Cronograma!F48&gt;Cronograma!F47,"⚠ Atrasado",IF(Cronograma!F48&lt;Cronograma!F47,"✓ Adiantado","✓ No prazo")),"– Pendente")</f>
        <v>✓ Adiantado</v>
      </c>
    </row>
    <row r="25" spans="1:8" ht="23.1">
      <c r="A25" s="14" t="str">
        <f>Cronograma!A49</f>
        <v>5.4</v>
      </c>
      <c r="B25" s="4" t="str">
        <f>Cronograma!B49</f>
        <v>Instalação do servomotor e do suporte do sensor ultrassônico</v>
      </c>
      <c r="C25" s="15" t="s">
        <v>126</v>
      </c>
      <c r="D25" s="16">
        <f>Cronograma!E49</f>
        <v>46287</v>
      </c>
      <c r="E25" s="16">
        <f>Cronograma!F49</f>
        <v>46289</v>
      </c>
      <c r="F25" s="17">
        <f>IF(AND(Cronograma!E49&lt;&gt;"",Cronograma!F49&lt;&gt;""),Cronograma!F49-Cronograma!E49+1,"")</f>
        <v>3</v>
      </c>
      <c r="G25" s="17" t="str">
        <f>IF(AND(Cronograma!E50&lt;&gt;"",Cronograma!F50&lt;&gt;""),"Sim","Não")</f>
        <v>Não</v>
      </c>
      <c r="H25" s="7" t="str">
        <f>IF(AND(Cronograma!F50&lt;&gt;"",Cronograma!F49&lt;&gt;""),IF(Cronograma!F50&gt;Cronograma!F49,"⚠ Atrasado",IF(Cronograma!F50&lt;Cronograma!F49,"✓ Adiantado","✓ No prazo")),"– Pendente")</f>
        <v>– Pendente</v>
      </c>
    </row>
    <row r="26" spans="1:8" ht="23.1">
      <c r="A26" s="14" t="str">
        <f>Cronograma!A51</f>
        <v>5.5</v>
      </c>
      <c r="B26" s="4" t="str">
        <f>Cronograma!B51</f>
        <v>Montagem eletrônica (Arduino, ponte H, sensores, servo, bateria)</v>
      </c>
      <c r="C26" s="15" t="s">
        <v>203</v>
      </c>
      <c r="D26" s="16">
        <f>Cronograma!E51</f>
        <v>46289</v>
      </c>
      <c r="E26" s="16">
        <f>Cronograma!F51</f>
        <v>46291</v>
      </c>
      <c r="F26" s="17">
        <f>IF(AND(Cronograma!E51&lt;&gt;"",Cronograma!F51&lt;&gt;""),Cronograma!F51-Cronograma!E51+1,"")</f>
        <v>3</v>
      </c>
      <c r="G26" s="17" t="str">
        <f>IF(AND(Cronograma!E52&lt;&gt;"",Cronograma!F52&lt;&gt;""),"Sim","Não")</f>
        <v>Sim</v>
      </c>
      <c r="H26" s="7" t="str">
        <f>IF(AND(Cronograma!F52&lt;&gt;"",Cronograma!F51&lt;&gt;""),IF(Cronograma!F52&gt;Cronograma!F51,"⚠ Atrasado",IF(Cronograma!F52&lt;Cronograma!F51,"✓ Adiantado","✓ No prazo")),"– Pendente")</f>
        <v>✓ Adiantado</v>
      </c>
    </row>
    <row r="27" spans="1:8">
      <c r="A27" s="14" t="str">
        <f>Cronograma!A53</f>
        <v>5.6</v>
      </c>
      <c r="B27" s="4" t="str">
        <f>Cronograma!B53</f>
        <v>Verificação das conexões – robô montado</v>
      </c>
      <c r="C27" s="15" t="s">
        <v>130</v>
      </c>
      <c r="D27" s="16">
        <f>Cronograma!E53</f>
        <v>46294</v>
      </c>
      <c r="E27" s="16">
        <f>Cronograma!F53</f>
        <v>46295</v>
      </c>
      <c r="F27" s="17">
        <f>IF(AND(Cronograma!E53&lt;&gt;"",Cronograma!F53&lt;&gt;""),Cronograma!F53-Cronograma!E53+1,"")</f>
        <v>2</v>
      </c>
      <c r="G27" s="17" t="str">
        <f>IF(AND(Cronograma!E54&lt;&gt;"",Cronograma!F54&lt;&gt;""),"Sim","Não")</f>
        <v>Sim</v>
      </c>
      <c r="H27" s="7" t="str">
        <f>IF(AND(Cronograma!F54&lt;&gt;"",Cronograma!F53&lt;&gt;""),IF(Cronograma!F54&gt;Cronograma!F53,"⚠ Atrasado",IF(Cronograma!F54&lt;Cronograma!F53,"✓ Adiantado","✓ No prazo")),"– Pendente")</f>
        <v>✓ Adiantado</v>
      </c>
    </row>
    <row r="28" spans="1:8">
      <c r="A28" s="14" t="str">
        <f>Cronograma!A56</f>
        <v>6.1</v>
      </c>
      <c r="B28" s="4" t="str">
        <f>Cronograma!B56</f>
        <v>Programação dos motores (frente/trás/giro/parar)</v>
      </c>
      <c r="C28" s="15" t="s">
        <v>132</v>
      </c>
      <c r="D28" s="16">
        <f>Cronograma!E56</f>
        <v>46296</v>
      </c>
      <c r="E28" s="16">
        <f>Cronograma!F56</f>
        <v>46297</v>
      </c>
      <c r="F28" s="17">
        <f>IF(AND(Cronograma!E56&lt;&gt;"",Cronograma!F56&lt;&gt;""),Cronograma!F56-Cronograma!E56+1,"")</f>
        <v>2</v>
      </c>
      <c r="G28" s="17" t="str">
        <f>IF(AND(Cronograma!E57&lt;&gt;"",Cronograma!F57&lt;&gt;""),"Sim","Não")</f>
        <v>Sim</v>
      </c>
      <c r="H28" s="7" t="str">
        <f>IF(AND(Cronograma!F57&lt;&gt;"",Cronograma!F56&lt;&gt;""),IF(Cronograma!F57&gt;Cronograma!F56,"⚠ Atrasado",IF(Cronograma!F57&lt;Cronograma!F56,"✓ Adiantado","✓ No prazo")),"– Pendente")</f>
        <v>✓ Adiantado</v>
      </c>
    </row>
    <row r="29" spans="1:8">
      <c r="A29" s="14" t="str">
        <f>Cronograma!A58</f>
        <v>6.2</v>
      </c>
      <c r="B29" s="4" t="str">
        <f>Cronograma!B58</f>
        <v>Controle de velocidade via PWM</v>
      </c>
      <c r="C29" s="15" t="s">
        <v>135</v>
      </c>
      <c r="D29" s="16">
        <f>Cronograma!E58</f>
        <v>46297</v>
      </c>
      <c r="E29" s="16">
        <f>Cronograma!F58</f>
        <v>46298</v>
      </c>
      <c r="F29" s="17">
        <f>IF(AND(Cronograma!E58&lt;&gt;"",Cronograma!F58&lt;&gt;""),Cronograma!F58-Cronograma!E58+1,"")</f>
        <v>2</v>
      </c>
      <c r="G29" s="17" t="str">
        <f>IF(AND(Cronograma!E59&lt;&gt;"",Cronograma!F59&lt;&gt;""),"Sim","Não")</f>
        <v>Sim</v>
      </c>
      <c r="H29" s="7" t="str">
        <f>IF(AND(Cronograma!F59&lt;&gt;"",Cronograma!F58&lt;&gt;""),IF(Cronograma!F59&gt;Cronograma!F58,"⚠ Atrasado",IF(Cronograma!F59&lt;Cronograma!F58,"✓ Adiantado","✓ No prazo")),"– Pendente")</f>
        <v>✓ Adiantado</v>
      </c>
    </row>
    <row r="30" spans="1:8">
      <c r="A30" s="14" t="str">
        <f>Cronograma!A60</f>
        <v>6.3</v>
      </c>
      <c r="B30" s="4" t="str">
        <f>Cronograma!B60</f>
        <v>Programação do sensor ultrassônico</v>
      </c>
      <c r="C30" s="15" t="s">
        <v>132</v>
      </c>
      <c r="D30" s="16">
        <f>Cronograma!E60</f>
        <v>46300</v>
      </c>
      <c r="E30" s="16">
        <f>Cronograma!F60</f>
        <v>46301</v>
      </c>
      <c r="F30" s="17">
        <f>IF(AND(Cronograma!E60&lt;&gt;"",Cronograma!F60&lt;&gt;""),Cronograma!F60-Cronograma!E60+1,"")</f>
        <v>2</v>
      </c>
      <c r="G30" s="17" t="str">
        <f>IF(AND(Cronograma!E61&lt;&gt;"",Cronograma!F61&lt;&gt;""),"Sim","Não")</f>
        <v>Sim</v>
      </c>
      <c r="H30" s="7" t="str">
        <f>IF(AND(Cronograma!F61&lt;&gt;"",Cronograma!F60&lt;&gt;""),IF(Cronograma!F61&gt;Cronograma!F60,"⚠ Atrasado",IF(Cronograma!F61&lt;Cronograma!F60,"✓ Adiantado","✓ No prazo")),"– Pendente")</f>
        <v>✓ Adiantado</v>
      </c>
    </row>
    <row r="31" spans="1:8">
      <c r="A31" s="14" t="str">
        <f>Cronograma!A62</f>
        <v>6.4</v>
      </c>
      <c r="B31" s="4" t="str">
        <f>Cronograma!B62</f>
        <v>Programação do sensor de obstáculo (infravermelho)</v>
      </c>
      <c r="C31" s="15" t="s">
        <v>132</v>
      </c>
      <c r="D31" s="16">
        <f>Cronograma!E62</f>
        <v>46301</v>
      </c>
      <c r="E31" s="16">
        <f>Cronograma!F62</f>
        <v>46302</v>
      </c>
      <c r="F31" s="17">
        <f>IF(AND(Cronograma!E62&lt;&gt;"",Cronograma!F62&lt;&gt;""),Cronograma!F62-Cronograma!E62+1,"")</f>
        <v>2</v>
      </c>
      <c r="G31" s="17" t="str">
        <f>IF(AND(Cronograma!E63&lt;&gt;"",Cronograma!F63&lt;&gt;""),"Sim","Não")</f>
        <v>Sim</v>
      </c>
      <c r="H31" s="7" t="str">
        <f>IF(AND(Cronograma!F63&lt;&gt;"",Cronograma!F62&lt;&gt;""),IF(Cronograma!F63&gt;Cronograma!F62,"⚠ Atrasado",IF(Cronograma!F63&lt;Cronograma!F62,"✓ Adiantado","✓ No prazo")),"– Pendente")</f>
        <v>✓ Adiantado</v>
      </c>
    </row>
    <row r="32" spans="1:8">
      <c r="A32" s="14" t="str">
        <f>Cronograma!A64</f>
        <v>6.5</v>
      </c>
      <c r="B32" s="4" t="str">
        <f>Cronograma!B64</f>
        <v>Programação do servomotor (varredura do sensor)</v>
      </c>
      <c r="C32" s="15" t="s">
        <v>140</v>
      </c>
      <c r="D32" s="16">
        <f>Cronograma!E64</f>
        <v>46302</v>
      </c>
      <c r="E32" s="16">
        <f>Cronograma!F64</f>
        <v>46303</v>
      </c>
      <c r="F32" s="17">
        <f>IF(AND(Cronograma!E64&lt;&gt;"",Cronograma!F64&lt;&gt;""),Cronograma!F64-Cronograma!E64+1,"")</f>
        <v>2</v>
      </c>
      <c r="G32" s="17" t="str">
        <f>IF(AND(Cronograma!E65&lt;&gt;"",Cronograma!F65&lt;&gt;""),"Sim","Não")</f>
        <v>Não</v>
      </c>
      <c r="H32" s="7" t="str">
        <f>IF(AND(Cronograma!F65&lt;&gt;"",Cronograma!F64&lt;&gt;""),IF(Cronograma!F65&gt;Cronograma!F64,"⚠ Atrasado",IF(Cronograma!F65&lt;Cronograma!F64,"✓ Adiantado","✓ No prazo")),"– Pendente")</f>
        <v>– Pendente</v>
      </c>
    </row>
    <row r="33" spans="1:8">
      <c r="A33" s="14" t="str">
        <f>Cronograma!A66</f>
        <v>6.6</v>
      </c>
      <c r="B33" s="4" t="str">
        <f>Cronograma!B66</f>
        <v>Calibração dos sensores e do servomotor</v>
      </c>
      <c r="C33" s="15" t="s">
        <v>204</v>
      </c>
      <c r="D33" s="16">
        <f>Cronograma!E66</f>
        <v>46304</v>
      </c>
      <c r="E33" s="16">
        <f>Cronograma!F66</f>
        <v>46308</v>
      </c>
      <c r="F33" s="17">
        <f>IF(AND(Cronograma!E66&lt;&gt;"",Cronograma!F66&lt;&gt;""),Cronograma!F66-Cronograma!E66+1,"")</f>
        <v>5</v>
      </c>
      <c r="G33" s="17" t="str">
        <f>IF(AND(Cronograma!E67&lt;&gt;"",Cronograma!F67&lt;&gt;""),"Sim","Não")</f>
        <v>Sim</v>
      </c>
      <c r="H33" s="7" t="str">
        <f>IF(AND(Cronograma!F67&lt;&gt;"",Cronograma!F66&lt;&gt;""),IF(Cronograma!F67&gt;Cronograma!F66,"⚠ Atrasado",IF(Cronograma!F67&lt;Cronograma!F66,"✓ Adiantado","✓ No prazo")),"– Pendente")</f>
        <v>✓ Adiantado</v>
      </c>
    </row>
    <row r="34" spans="1:8">
      <c r="A34" s="14" t="str">
        <f>Cronograma!A69</f>
        <v>7.1</v>
      </c>
      <c r="B34" s="4" t="str">
        <f>Cronograma!B69</f>
        <v>Lógica de decisão (desvio com varredura do servo)</v>
      </c>
      <c r="C34" s="15" t="s">
        <v>205</v>
      </c>
      <c r="D34" s="16">
        <f>Cronograma!E69</f>
        <v>46309</v>
      </c>
      <c r="E34" s="16">
        <f>Cronograma!F69</f>
        <v>46315</v>
      </c>
      <c r="F34" s="17">
        <f>IF(AND(Cronograma!E69&lt;&gt;"",Cronograma!F69&lt;&gt;""),Cronograma!F69-Cronograma!E69+1,"")</f>
        <v>7</v>
      </c>
      <c r="G34" s="17" t="str">
        <f>IF(AND(Cronograma!E70&lt;&gt;"",Cronograma!F70&lt;&gt;""),"Sim","Não")</f>
        <v>Sim</v>
      </c>
      <c r="H34" s="7" t="str">
        <f>IF(AND(Cronograma!F70&lt;&gt;"",Cronograma!F69&lt;&gt;""),IF(Cronograma!F70&gt;Cronograma!F69,"⚠ Atrasado",IF(Cronograma!F70&lt;Cronograma!F69,"✓ Adiantado","✓ No prazo")),"– Pendente")</f>
        <v>✓ Adiantado</v>
      </c>
    </row>
    <row r="35" spans="1:8">
      <c r="A35" s="14" t="str">
        <f>Cronograma!A71</f>
        <v>7.2</v>
      </c>
      <c r="B35" s="4" t="str">
        <f>Cronograma!B71</f>
        <v>Integração hardware + software</v>
      </c>
      <c r="C35" s="15" t="s">
        <v>149</v>
      </c>
      <c r="D35" s="16">
        <f>Cronograma!E71</f>
        <v>46316</v>
      </c>
      <c r="E35" s="16">
        <f>Cronograma!F71</f>
        <v>46318</v>
      </c>
      <c r="F35" s="17">
        <f>IF(AND(Cronograma!E71&lt;&gt;"",Cronograma!F71&lt;&gt;""),Cronograma!F71-Cronograma!E71+1,"")</f>
        <v>3</v>
      </c>
      <c r="G35" s="17" t="str">
        <f>IF(AND(Cronograma!E72&lt;&gt;"",Cronograma!F72&lt;&gt;""),"Sim","Não")</f>
        <v>Sim</v>
      </c>
      <c r="H35" s="7" t="str">
        <f>IF(AND(Cronograma!F72&lt;&gt;"",Cronograma!F71&lt;&gt;""),IF(Cronograma!F72&gt;Cronograma!F71,"⚠ Atrasado",IF(Cronograma!F72&lt;Cronograma!F71,"✓ Adiantado","✓ No prazo")),"– Pendente")</f>
        <v>✓ Adiantado</v>
      </c>
    </row>
    <row r="36" spans="1:8">
      <c r="A36" s="14" t="str">
        <f>Cronograma!A73</f>
        <v>7.3</v>
      </c>
      <c r="B36" s="4" t="str">
        <f>Cronograma!B73</f>
        <v>Teste de deslocamento em linha reta</v>
      </c>
      <c r="C36" s="15" t="s">
        <v>151</v>
      </c>
      <c r="D36" s="16">
        <f>Cronograma!E73</f>
        <v>46319</v>
      </c>
      <c r="E36" s="16">
        <f>Cronograma!F73</f>
        <v>46320</v>
      </c>
      <c r="F36" s="17">
        <f>IF(AND(Cronograma!E73&lt;&gt;"",Cronograma!F73&lt;&gt;""),Cronograma!F73-Cronograma!E73+1,"")</f>
        <v>2</v>
      </c>
      <c r="G36" s="17" t="str">
        <f>IF(AND(Cronograma!E74&lt;&gt;"",Cronograma!F74&lt;&gt;""),"Sim","Não")</f>
        <v>Sim</v>
      </c>
      <c r="H36" s="7" t="str">
        <f>IF(AND(Cronograma!F74&lt;&gt;"",Cronograma!F73&lt;&gt;""),IF(Cronograma!F74&gt;Cronograma!F73,"⚠ Atrasado",IF(Cronograma!F74&lt;Cronograma!F73,"✓ Adiantado","✓ No prazo")),"– Pendente")</f>
        <v>✓ Adiantado</v>
      </c>
    </row>
    <row r="37" spans="1:8">
      <c r="A37" s="14" t="str">
        <f>Cronograma!A75</f>
        <v>7.4</v>
      </c>
      <c r="B37" s="4" t="str">
        <f>Cronograma!B75</f>
        <v>Teste de desvio de obstáculos</v>
      </c>
      <c r="C37" s="15" t="s">
        <v>153</v>
      </c>
      <c r="D37" s="16">
        <f>Cronograma!E75</f>
        <v>46321</v>
      </c>
      <c r="E37" s="16">
        <f>Cronograma!F75</f>
        <v>46323</v>
      </c>
      <c r="F37" s="17">
        <f>IF(AND(Cronograma!E75&lt;&gt;"",Cronograma!F75&lt;&gt;""),Cronograma!F75-Cronograma!E75+1,"")</f>
        <v>3</v>
      </c>
      <c r="G37" s="17" t="str">
        <f>IF(AND(Cronograma!E76&lt;&gt;"",Cronograma!F76&lt;&gt;""),"Sim","Não")</f>
        <v>Sim</v>
      </c>
      <c r="H37" s="7" t="str">
        <f>IF(AND(Cronograma!F76&lt;&gt;"",Cronograma!F75&lt;&gt;""),IF(Cronograma!F76&gt;Cronograma!F75,"⚠ Atrasado",IF(Cronograma!F76&lt;Cronograma!F75,"✓ Adiantado","✓ No prazo")),"– Pendente")</f>
        <v>✓ Adiantado</v>
      </c>
    </row>
    <row r="38" spans="1:8">
      <c r="A38" s="14" t="str">
        <f>Cronograma!A77</f>
        <v>7.5</v>
      </c>
      <c r="B38" s="4" t="str">
        <f>Cronograma!B77</f>
        <v>Otimização do percurso</v>
      </c>
      <c r="C38" s="15" t="s">
        <v>155</v>
      </c>
      <c r="D38" s="16">
        <f>Cronograma!E77</f>
        <v>46324</v>
      </c>
      <c r="E38" s="16">
        <f>Cronograma!F77</f>
        <v>46326</v>
      </c>
      <c r="F38" s="17">
        <f>IF(AND(Cronograma!E77&lt;&gt;"",Cronograma!F77&lt;&gt;""),Cronograma!F77-Cronograma!E77+1,"")</f>
        <v>3</v>
      </c>
      <c r="G38" s="17" t="str">
        <f>IF(AND(Cronograma!E78&lt;&gt;"",Cronograma!F78&lt;&gt;""),"Sim","Não")</f>
        <v>Sim</v>
      </c>
      <c r="H38" s="7" t="str">
        <f>IF(AND(Cronograma!F78&lt;&gt;"",Cronograma!F77&lt;&gt;""),IF(Cronograma!F78&gt;Cronograma!F77,"⚠ Atrasado",IF(Cronograma!F78&lt;Cronograma!F77,"✓ Adiantado","✓ No prazo")),"– Pendente")</f>
        <v>✓ Adiantado</v>
      </c>
    </row>
    <row r="39" spans="1:8">
      <c r="A39" s="14" t="str">
        <f>Cronograma!A80</f>
        <v>8.1</v>
      </c>
      <c r="B39" s="4" t="str">
        <f>Cronograma!B80</f>
        <v>Teste de percurso completo</v>
      </c>
      <c r="C39" s="15" t="s">
        <v>157</v>
      </c>
      <c r="D39" s="16">
        <f>Cronograma!E80</f>
        <v>46328</v>
      </c>
      <c r="E39" s="16">
        <f>Cronograma!F80</f>
        <v>46329</v>
      </c>
      <c r="F39" s="17">
        <f>IF(AND(Cronograma!E80&lt;&gt;"",Cronograma!F80&lt;&gt;""),Cronograma!F80-Cronograma!E80+1,"")</f>
        <v>2</v>
      </c>
      <c r="G39" s="17" t="str">
        <f>IF(AND(Cronograma!E81&lt;&gt;"",Cronograma!F81&lt;&gt;""),"Sim","Não")</f>
        <v>Não</v>
      </c>
      <c r="H39" s="7" t="str">
        <f>IF(AND(Cronograma!F81&lt;&gt;"",Cronograma!F80&lt;&gt;""),IF(Cronograma!F81&gt;Cronograma!F80,"⚠ Atrasado",IF(Cronograma!F81&lt;Cronograma!F80,"✓ Adiantado","✓ No prazo")),"– Pendente")</f>
        <v>– Pendente</v>
      </c>
    </row>
    <row r="40" spans="1:8">
      <c r="A40" s="14" t="str">
        <f>Cronograma!A82</f>
        <v>8.2</v>
      </c>
      <c r="B40" s="4" t="str">
        <f>Cronograma!B82</f>
        <v>Ajustes finais</v>
      </c>
      <c r="C40" s="15" t="s">
        <v>160</v>
      </c>
      <c r="D40" s="16">
        <f>Cronograma!E82</f>
        <v>46330</v>
      </c>
      <c r="E40" s="16">
        <f>Cronograma!F82</f>
        <v>46332</v>
      </c>
      <c r="F40" s="17">
        <f>IF(AND(Cronograma!E82&lt;&gt;"",Cronograma!F82&lt;&gt;""),Cronograma!F82-Cronograma!E82+1,"")</f>
        <v>3</v>
      </c>
      <c r="G40" s="17" t="str">
        <f>IF(AND(Cronograma!E83&lt;&gt;"",Cronograma!F83&lt;&gt;""),"Sim","Não")</f>
        <v>Não</v>
      </c>
      <c r="H40" s="7" t="str">
        <f>IF(AND(Cronograma!F83&lt;&gt;"",Cronograma!F82&lt;&gt;""),IF(Cronograma!F83&gt;Cronograma!F82,"⚠ Atrasado",IF(Cronograma!F83&lt;Cronograma!F82,"✓ Adiantado","✓ No prazo")),"– Pendente")</f>
        <v>– Pendente</v>
      </c>
    </row>
    <row r="41" spans="1:8">
      <c r="A41" s="14" t="str">
        <f>Cronograma!A84</f>
        <v>8.3</v>
      </c>
      <c r="B41" s="4" t="str">
        <f>Cronograma!B84</f>
        <v>Caderno de projeto</v>
      </c>
      <c r="C41" s="15" t="s">
        <v>81</v>
      </c>
      <c r="D41" s="16">
        <f>Cronograma!E84</f>
        <v>46343</v>
      </c>
      <c r="E41" s="16">
        <f>Cronograma!F84</f>
        <v>46354</v>
      </c>
      <c r="F41" s="17">
        <f>IF(AND(Cronograma!E84&lt;&gt;"",Cronograma!F84&lt;&gt;""),Cronograma!F84-Cronograma!E84+1,"")</f>
        <v>12</v>
      </c>
      <c r="G41" s="17" t="str">
        <f>IF(AND(Cronograma!E85&lt;&gt;"",Cronograma!F85&lt;&gt;""),"Sim","Não")</f>
        <v>Não</v>
      </c>
      <c r="H41" s="7" t="str">
        <f>IF(AND(Cronograma!F85&lt;&gt;"",Cronograma!F84&lt;&gt;""),IF(Cronograma!F85&gt;Cronograma!F84,"⚠ Atrasado",IF(Cronograma!F85&lt;Cronograma!F84,"✓ Adiantado","✓ No prazo")),"– Pendente")</f>
        <v>– Pendente</v>
      </c>
    </row>
    <row r="42" spans="1:8">
      <c r="A42" s="14" t="str">
        <f>Cronograma!A86</f>
        <v>8.4</v>
      </c>
      <c r="B42" s="4" t="str">
        <f>Cronograma!B86</f>
        <v>Banner do projeto</v>
      </c>
      <c r="C42" s="15" t="s">
        <v>151</v>
      </c>
      <c r="D42" s="16">
        <f>Cronograma!E86</f>
        <v>46335</v>
      </c>
      <c r="E42" s="16">
        <f>Cronograma!F86</f>
        <v>46354</v>
      </c>
      <c r="F42" s="17">
        <f>IF(AND(Cronograma!E86&lt;&gt;"",Cronograma!F86&lt;&gt;""),Cronograma!F86-Cronograma!E86+1,"")</f>
        <v>20</v>
      </c>
      <c r="G42" s="17" t="str">
        <f>IF(AND(Cronograma!E87&lt;&gt;"",Cronograma!F87&lt;&gt;""),"Sim","Não")</f>
        <v>Não</v>
      </c>
      <c r="H42" s="7" t="str">
        <f>IF(AND(Cronograma!F87&lt;&gt;"",Cronograma!F86&lt;&gt;""),IF(Cronograma!F87&gt;Cronograma!F86,"⚠ Atrasado",IF(Cronograma!F87&lt;Cronograma!F86,"✓ Adiantado","✓ No prazo")),"– Pendente")</f>
        <v>– Pendente</v>
      </c>
    </row>
    <row r="43" spans="1:8">
      <c r="A43" s="14" t="str">
        <f>Cronograma!A88</f>
        <v>8.5</v>
      </c>
      <c r="B43" s="4" t="str">
        <f>Cronograma!B88</f>
        <v>Apresentação em PowerPoint</v>
      </c>
      <c r="C43" s="15" t="s">
        <v>151</v>
      </c>
      <c r="D43" s="16">
        <f>Cronograma!E88</f>
        <v>46335</v>
      </c>
      <c r="E43" s="16">
        <f>Cronograma!F88</f>
        <v>46354</v>
      </c>
      <c r="F43" s="17">
        <f>IF(AND(Cronograma!E88&lt;&gt;"",Cronograma!F88&lt;&gt;""),Cronograma!F88-Cronograma!E88+1,"")</f>
        <v>20</v>
      </c>
      <c r="G43" s="17" t="str">
        <f>IF(AND(Cronograma!E89&lt;&gt;"",Cronograma!F89&lt;&gt;""),"Sim","Não")</f>
        <v>Não</v>
      </c>
      <c r="H43" s="7" t="str">
        <f>IF(AND(Cronograma!F89&lt;&gt;"",Cronograma!F88&lt;&gt;""),IF(Cronograma!F89&gt;Cronograma!F88,"⚠ Atrasado",IF(Cronograma!F89&lt;Cronograma!F88,"✓ Adiantado","✓ No prazo")),"– Pendente")</f>
        <v>– Pendente</v>
      </c>
    </row>
    <row r="44" spans="1:8">
      <c r="A44" s="14" t="str">
        <f>Cronograma!A90</f>
        <v>8.6</v>
      </c>
      <c r="B44" s="4" t="str">
        <f>Cronograma!B90</f>
        <v>Inspeção mecânica e elétrica (checklist)</v>
      </c>
      <c r="C44" s="15" t="s">
        <v>162</v>
      </c>
      <c r="D44" s="16">
        <f>Cronograma!E90</f>
        <v>46350</v>
      </c>
      <c r="E44" s="16">
        <f>Cronograma!F90</f>
        <v>46351</v>
      </c>
      <c r="F44" s="17">
        <f>IF(AND(Cronograma!E90&lt;&gt;"",Cronograma!F90&lt;&gt;""),Cronograma!F90-Cronograma!E90+1,"")</f>
        <v>2</v>
      </c>
      <c r="G44" s="17" t="str">
        <f>IF(AND(Cronograma!E91&lt;&gt;"",Cronograma!F91&lt;&gt;""),"Sim","Não")</f>
        <v>Não</v>
      </c>
      <c r="H44" s="7" t="str">
        <f>IF(AND(Cronograma!F91&lt;&gt;"",Cronograma!F90&lt;&gt;""),IF(Cronograma!F91&gt;Cronograma!F90,"⚠ Atrasado",IF(Cronograma!F91&lt;Cronograma!F90,"✓ Adiantado","✓ No prazo")),"– Pendente")</f>
        <v>– Pendente</v>
      </c>
    </row>
    <row r="45" spans="1:8">
      <c r="A45" s="14" t="str">
        <f>Cronograma!A93</f>
        <v>9.1</v>
      </c>
      <c r="B45" s="4" t="str">
        <f>Cronograma!B93</f>
        <v>Prévia da competição (ensaio geral)</v>
      </c>
      <c r="C45" s="15" t="s">
        <v>206</v>
      </c>
      <c r="D45" s="16">
        <f>Cronograma!E93</f>
        <v>46354</v>
      </c>
      <c r="E45" s="16">
        <f>Cronograma!F93</f>
        <v>46354</v>
      </c>
      <c r="F45" s="17">
        <f>IF(AND(Cronograma!E93&lt;&gt;"",Cronograma!F93&lt;&gt;""),Cronograma!F93-Cronograma!E93+1,"")</f>
        <v>1</v>
      </c>
      <c r="G45" s="17" t="str">
        <f>IF(AND(Cronograma!E94&lt;&gt;"",Cronograma!F94&lt;&gt;""),"Sim","Não")</f>
        <v>Não</v>
      </c>
      <c r="H45" s="7" t="str">
        <f>IF(AND(Cronograma!F94&lt;&gt;"",Cronograma!F93&lt;&gt;""),IF(Cronograma!F94&gt;Cronograma!F93,"⚠ Atrasado",IF(Cronograma!F94&lt;Cronograma!F93,"✓ Adiantado","✓ No prazo")),"– Pendente")</f>
        <v>– Pendente</v>
      </c>
    </row>
    <row r="46" spans="1:8">
      <c r="A46" s="14" t="str">
        <f>Cronograma!A95</f>
        <v>9.2</v>
      </c>
      <c r="B46" s="4" t="str">
        <f>Cronograma!B95</f>
        <v>Análise dos resultados da prévia e ajustes finais</v>
      </c>
      <c r="C46" s="15" t="s">
        <v>173</v>
      </c>
      <c r="D46" s="16">
        <f>Cronograma!E95</f>
        <v>46356</v>
      </c>
      <c r="E46" s="16">
        <f>Cronograma!F95</f>
        <v>46358</v>
      </c>
      <c r="F46" s="17">
        <f>IF(AND(Cronograma!E95&lt;&gt;"",Cronograma!F95&lt;&gt;""),Cronograma!F95-Cronograma!E95+1,"")</f>
        <v>3</v>
      </c>
      <c r="G46" s="17" t="str">
        <f>IF(AND(Cronograma!E96&lt;&gt;"",Cronograma!F96&lt;&gt;""),"Sim","Não")</f>
        <v>Não</v>
      </c>
      <c r="H46" s="7" t="str">
        <f>IF(AND(Cronograma!F96&lt;&gt;"",Cronograma!F95&lt;&gt;""),IF(Cronograma!F96&gt;Cronograma!F95,"⚠ Atrasado",IF(Cronograma!F96&lt;Cronograma!F95,"✓ Adiantado","✓ No prazo")),"– Pendente")</f>
        <v>– Pendente</v>
      </c>
    </row>
    <row r="47" spans="1:8">
      <c r="A47" s="14" t="str">
        <f>Cronograma!A97</f>
        <v>9.3</v>
      </c>
      <c r="B47" s="4" t="str">
        <f>Cronograma!B97</f>
        <v>Checklist final pré-competição</v>
      </c>
      <c r="C47" s="15" t="s">
        <v>175</v>
      </c>
      <c r="D47" s="16">
        <f>Cronograma!E97</f>
        <v>46359</v>
      </c>
      <c r="E47" s="16">
        <f>Cronograma!F97</f>
        <v>46360</v>
      </c>
      <c r="F47" s="17">
        <f>IF(AND(Cronograma!E97&lt;&gt;"",Cronograma!F97&lt;&gt;""),Cronograma!F97-Cronograma!E97+1,"")</f>
        <v>2</v>
      </c>
      <c r="G47" s="17" t="str">
        <f>IF(AND(Cronograma!E98&lt;&gt;"",Cronograma!F98&lt;&gt;""),"Sim","Não")</f>
        <v>Não</v>
      </c>
      <c r="H47" s="7" t="str">
        <f>IF(AND(Cronograma!F98&lt;&gt;"",Cronograma!F97&lt;&gt;""),IF(Cronograma!F98&gt;Cronograma!F97,"⚠ Atrasado",IF(Cronograma!F98&lt;Cronograma!F97,"✓ Adiantado","✓ No prazo")),"– Pendente")</f>
        <v>– Pendente</v>
      </c>
    </row>
    <row r="48" spans="1:8">
      <c r="A48" s="14" t="str">
        <f>Cronograma!A100</f>
        <v>10.1</v>
      </c>
      <c r="B48" s="4" t="str">
        <f>Cronograma!B100</f>
        <v>Teste final na véspera da competição</v>
      </c>
      <c r="C48" s="15" t="s">
        <v>177</v>
      </c>
      <c r="D48" s="16">
        <f>Cronograma!E100</f>
        <v>46360</v>
      </c>
      <c r="E48" s="16">
        <f>Cronograma!F100</f>
        <v>46360</v>
      </c>
      <c r="F48" s="17">
        <f>IF(AND(Cronograma!E100&lt;&gt;"",Cronograma!F100&lt;&gt;""),Cronograma!F100-Cronograma!E100+1,"")</f>
        <v>1</v>
      </c>
      <c r="G48" s="17" t="str">
        <f>IF(AND(Cronograma!E101&lt;&gt;"",Cronograma!F101&lt;&gt;""),"Sim","Não")</f>
        <v>Não</v>
      </c>
      <c r="H48" s="7" t="str">
        <f>IF(AND(Cronograma!F101&lt;&gt;"",Cronograma!F100&lt;&gt;""),IF(Cronograma!F101&gt;Cronograma!F100,"⚠ Atrasado",IF(Cronograma!F101&lt;Cronograma!F100,"✓ Adiantado","✓ No prazo")),"– Pendente")</f>
        <v>– Pendente</v>
      </c>
    </row>
    <row r="49" spans="1:8">
      <c r="A49" s="14" t="str">
        <f>Cronograma!A102</f>
        <v>10.2</v>
      </c>
      <c r="B49" s="4" t="str">
        <f>Cronograma!B102</f>
        <v>Competição de Robôs Desviadores de Obstáculos</v>
      </c>
      <c r="C49" s="15" t="s">
        <v>180</v>
      </c>
      <c r="D49" s="16">
        <f>Cronograma!E102</f>
        <v>46361</v>
      </c>
      <c r="E49" s="16">
        <f>Cronograma!F102</f>
        <v>46361</v>
      </c>
      <c r="F49" s="17">
        <f>IF(AND(Cronograma!E102&lt;&gt;"",Cronograma!F102&lt;&gt;""),Cronograma!F102-Cronograma!E102+1,"")</f>
        <v>1</v>
      </c>
      <c r="G49" s="17" t="str">
        <f>IF(AND(Cronograma!E103&lt;&gt;"",Cronograma!F103&lt;&gt;""),"Sim","Não")</f>
        <v>Não</v>
      </c>
      <c r="H49" s="7" t="str">
        <f>IF(AND(Cronograma!F103&lt;&gt;"",Cronograma!F102&lt;&gt;""),IF(Cronograma!F103&gt;Cronograma!F102,"⚠ Atrasado",IF(Cronograma!F103&lt;Cronograma!F102,"✓ Adiantado","✓ No prazo")),"– Pendente")</f>
        <v>– Pendente</v>
      </c>
    </row>
    <row r="50" spans="1:8">
      <c r="A50" s="14" t="str">
        <f>Cronograma!A104</f>
        <v>10.3</v>
      </c>
      <c r="B50" s="4" t="str">
        <f>Cronograma!B104</f>
        <v>Lições aprendidas e encerramento do projeto</v>
      </c>
      <c r="C50" s="15" t="s">
        <v>182</v>
      </c>
      <c r="D50" s="16">
        <f>Cronograma!E104</f>
        <v>46361</v>
      </c>
      <c r="E50" s="16">
        <f>Cronograma!F104</f>
        <v>46361</v>
      </c>
      <c r="F50" s="17">
        <f>IF(AND(Cronograma!E104&lt;&gt;"",Cronograma!F104&lt;&gt;""),Cronograma!F104-Cronograma!E104+1,"")</f>
        <v>1</v>
      </c>
      <c r="G50" s="17" t="str">
        <f>IF(AND(Cronograma!E105&lt;&gt;"",Cronograma!F105&lt;&gt;""),"Sim","Não")</f>
        <v>Não</v>
      </c>
      <c r="H50" s="7" t="str">
        <f>IF(AND(Cronograma!F105&lt;&gt;"",Cronograma!F104&lt;&gt;""),IF(Cronograma!F105&gt;Cronograma!F104,"⚠ Atrasado",IF(Cronograma!F105&lt;Cronograma!F104,"✓ Adiantado","✓ No prazo")),"– Pendente")</f>
        <v>– Pendente</v>
      </c>
    </row>
    <row r="52" spans="1:8">
      <c r="A52" s="65" t="s">
        <v>207</v>
      </c>
      <c r="B52" s="65"/>
      <c r="C52" s="65"/>
      <c r="D52" s="65"/>
      <c r="E52" s="65"/>
      <c r="F52" s="65"/>
      <c r="G52" s="65"/>
      <c r="H52" s="65"/>
    </row>
    <row r="53" spans="1:8">
      <c r="A53" s="1" t="s">
        <v>208</v>
      </c>
      <c r="B53" s="2">
        <f>COUNTA(B5:B50)</f>
        <v>46</v>
      </c>
      <c r="D53" s="1" t="s">
        <v>209</v>
      </c>
      <c r="E53" s="2">
        <f>COUNTIF(G5:G50,"Sim")</f>
        <v>31</v>
      </c>
      <c r="G53" s="1" t="s">
        <v>210</v>
      </c>
      <c r="H53" s="18">
        <f>IFERROR(COUNTIF(G5:G50,"Sim")/COUNTA(B5:B50),0)</f>
        <v>0.67391304347826086</v>
      </c>
    </row>
    <row r="54" spans="1:8">
      <c r="A54" s="1" t="s">
        <v>211</v>
      </c>
      <c r="B54" s="2">
        <f>SUMPRODUCT(--ISNUMBER(SEARCH("Atrasado",H5:H50)))</f>
        <v>8</v>
      </c>
    </row>
  </sheetData>
  <mergeCells count="3">
    <mergeCell ref="A1:H1"/>
    <mergeCell ref="A2:H2"/>
    <mergeCell ref="A52:H52"/>
  </mergeCells>
  <conditionalFormatting sqref="H5:H50">
    <cfRule type="expression" dxfId="12" priority="2">
      <formula>ISNUMBER(SEARCH("Atrasado",H5))</formula>
    </cfRule>
    <cfRule type="expression" dxfId="11" priority="3">
      <formula>ISNUMBER(SEARCH("No prazo",H5))</formula>
    </cfRule>
    <cfRule type="expression" dxfId="10" priority="4">
      <formula>ISNUMBER(SEARCH("Adiantado",H5))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5"/>
  <sheetViews>
    <sheetView showGridLines="0" topLeftCell="A15" zoomScaleNormal="100" workbookViewId="0">
      <selection activeCell="B20" sqref="B20"/>
    </sheetView>
  </sheetViews>
  <sheetFormatPr defaultColWidth="8.5703125" defaultRowHeight="14.45"/>
  <cols>
    <col min="1" max="1" width="34" customWidth="1"/>
    <col min="2" max="2" width="58" customWidth="1"/>
    <col min="3" max="3" width="22" customWidth="1"/>
    <col min="4" max="4" width="14" customWidth="1"/>
  </cols>
  <sheetData>
    <row r="1" spans="1:4" ht="27.75" customHeight="1">
      <c r="A1" s="63" t="s">
        <v>212</v>
      </c>
      <c r="B1" s="63"/>
      <c r="C1" s="63"/>
      <c r="D1" s="63"/>
    </row>
    <row r="2" spans="1:4" ht="6" customHeight="1">
      <c r="A2" s="76"/>
      <c r="B2" s="76"/>
      <c r="C2" s="76"/>
      <c r="D2" s="76"/>
    </row>
    <row r="4" spans="1:4" ht="18" customHeight="1">
      <c r="A4" s="66" t="s">
        <v>213</v>
      </c>
      <c r="B4" s="66"/>
      <c r="C4" s="66"/>
      <c r="D4" s="66"/>
    </row>
    <row r="5" spans="1:4" ht="27.75" customHeight="1">
      <c r="A5" s="3" t="s">
        <v>1</v>
      </c>
      <c r="B5" s="67" t="s">
        <v>214</v>
      </c>
      <c r="C5" s="67"/>
      <c r="D5" s="67"/>
    </row>
    <row r="6" spans="1:4" ht="27.75" customHeight="1">
      <c r="A6" s="3" t="s">
        <v>215</v>
      </c>
      <c r="B6" s="67" t="s">
        <v>216</v>
      </c>
      <c r="C6" s="67"/>
      <c r="D6" s="67"/>
    </row>
    <row r="7" spans="1:4" ht="27.75" customHeight="1">
      <c r="A7" s="3" t="s">
        <v>3</v>
      </c>
      <c r="B7" s="67" t="s">
        <v>217</v>
      </c>
      <c r="C7" s="67"/>
      <c r="D7" s="67"/>
    </row>
    <row r="8" spans="1:4" ht="27.75" customHeight="1">
      <c r="A8" s="3" t="s">
        <v>218</v>
      </c>
      <c r="B8" s="67" t="s">
        <v>219</v>
      </c>
      <c r="C8" s="67"/>
      <c r="D8" s="67"/>
    </row>
    <row r="9" spans="1:4" ht="27.75" customHeight="1">
      <c r="A9" s="3" t="s">
        <v>220</v>
      </c>
      <c r="B9" s="67" t="s">
        <v>221</v>
      </c>
      <c r="C9" s="67"/>
      <c r="D9" s="67"/>
    </row>
    <row r="10" spans="1:4" ht="27.75" customHeight="1">
      <c r="A10" s="3" t="s">
        <v>222</v>
      </c>
      <c r="B10" s="67" t="s">
        <v>223</v>
      </c>
      <c r="C10" s="67"/>
      <c r="D10" s="67"/>
    </row>
    <row r="11" spans="1:4" ht="27.75" customHeight="1">
      <c r="A11" s="3" t="s">
        <v>224</v>
      </c>
      <c r="B11" s="67" t="s">
        <v>225</v>
      </c>
      <c r="C11" s="67"/>
      <c r="D11" s="67"/>
    </row>
    <row r="12" spans="1:4" ht="27.75" customHeight="1">
      <c r="A12" s="3" t="s">
        <v>226</v>
      </c>
      <c r="B12" s="67" t="s">
        <v>227</v>
      </c>
      <c r="C12" s="67"/>
      <c r="D12" s="67"/>
    </row>
    <row r="13" spans="1:4" ht="27.75" customHeight="1">
      <c r="A13" s="3" t="s">
        <v>228</v>
      </c>
      <c r="B13" s="67" t="s">
        <v>229</v>
      </c>
      <c r="C13" s="67"/>
      <c r="D13" s="67"/>
    </row>
    <row r="14" spans="1:4" ht="27.75" customHeight="1">
      <c r="A14" s="3" t="s">
        <v>230</v>
      </c>
      <c r="B14" s="67" t="s">
        <v>231</v>
      </c>
      <c r="C14" s="67"/>
      <c r="D14" s="67"/>
    </row>
    <row r="16" spans="1:4" ht="18" customHeight="1">
      <c r="A16" s="66" t="s">
        <v>232</v>
      </c>
      <c r="B16" s="66"/>
      <c r="C16" s="66"/>
      <c r="D16" s="66"/>
    </row>
    <row r="17" spans="1:4" ht="30" customHeight="1">
      <c r="A17" s="19" t="s">
        <v>69</v>
      </c>
      <c r="B17" s="19" t="s">
        <v>233</v>
      </c>
      <c r="C17" s="19" t="s">
        <v>234</v>
      </c>
      <c r="D17" s="19" t="s">
        <v>235</v>
      </c>
    </row>
    <row r="18" spans="1:4">
      <c r="A18" s="20" t="str">
        <f>Cronograma!A5</f>
        <v>1.1</v>
      </c>
      <c r="B18" s="21" t="str">
        <f>Cronograma!B5</f>
        <v>Reunião de abertura do projeto (kickoff)</v>
      </c>
      <c r="C18" s="22">
        <f>Cronograma!E5</f>
        <v>46249</v>
      </c>
      <c r="D18" s="22">
        <f>Cronograma!F5</f>
        <v>46249</v>
      </c>
    </row>
    <row r="19" spans="1:4">
      <c r="A19" s="20" t="str">
        <f>Cronograma!A16</f>
        <v>2.3</v>
      </c>
      <c r="B19" s="21" t="str">
        <f>Cronograma!B16</f>
        <v>Definição dos requisitos funcionais</v>
      </c>
      <c r="C19" s="22">
        <f>Cronograma!E16</f>
        <v>46258</v>
      </c>
      <c r="D19" s="22">
        <f>Cronograma!F16</f>
        <v>46260</v>
      </c>
    </row>
    <row r="20" spans="1:4">
      <c r="A20" s="20" t="str">
        <f>Cronograma!A23</f>
        <v>3.2</v>
      </c>
      <c r="B20" s="21" t="str">
        <f>Cronograma!B23</f>
        <v>Molde em papel cartão (estudo prévio)</v>
      </c>
      <c r="C20" s="22">
        <f>Cronograma!E23</f>
        <v>46261</v>
      </c>
      <c r="D20" s="22">
        <f>Cronograma!F23</f>
        <v>46262</v>
      </c>
    </row>
    <row r="21" spans="1:4">
      <c r="A21" s="20" t="str">
        <f>Cronograma!A40</f>
        <v>4.3</v>
      </c>
      <c r="B21" s="21" t="str">
        <f>Cronograma!B40</f>
        <v>Recebimento e conferência do material</v>
      </c>
      <c r="C21" s="22">
        <f>Cronograma!E40</f>
        <v>46277</v>
      </c>
      <c r="D21" s="22">
        <f>Cronograma!F40</f>
        <v>46279</v>
      </c>
    </row>
    <row r="22" spans="1:4">
      <c r="A22" s="20" t="str">
        <f>Cronograma!A53</f>
        <v>5.6</v>
      </c>
      <c r="B22" s="21" t="str">
        <f>Cronograma!B53</f>
        <v>Verificação das conexões – robô montado</v>
      </c>
      <c r="C22" s="22">
        <f>Cronograma!E53</f>
        <v>46294</v>
      </c>
      <c r="D22" s="22">
        <f>Cronograma!F53</f>
        <v>46295</v>
      </c>
    </row>
    <row r="23" spans="1:4">
      <c r="A23" s="20" t="str">
        <f>Cronograma!A66</f>
        <v>6.6</v>
      </c>
      <c r="B23" s="21" t="str">
        <f>Cronograma!B66</f>
        <v>Calibração dos sensores e do servomotor</v>
      </c>
      <c r="C23" s="22">
        <f>Cronograma!E66</f>
        <v>46304</v>
      </c>
      <c r="D23" s="22">
        <f>Cronograma!F66</f>
        <v>46308</v>
      </c>
    </row>
    <row r="24" spans="1:4">
      <c r="A24" s="20" t="str">
        <f>Cronograma!A71</f>
        <v>7.2</v>
      </c>
      <c r="B24" s="21" t="str">
        <f>Cronograma!B71</f>
        <v>Integração hardware + software</v>
      </c>
      <c r="C24" s="22">
        <f>Cronograma!E71</f>
        <v>46316</v>
      </c>
      <c r="D24" s="22">
        <f>Cronograma!F71</f>
        <v>46318</v>
      </c>
    </row>
    <row r="25" spans="1:4">
      <c r="A25" s="20" t="str">
        <f>Cronograma!A90</f>
        <v>8.6</v>
      </c>
      <c r="B25" s="21" t="str">
        <f>Cronograma!B90</f>
        <v>Inspeção mecânica e elétrica (checklist)</v>
      </c>
      <c r="C25" s="22">
        <f>Cronograma!E90</f>
        <v>46350</v>
      </c>
      <c r="D25" s="22">
        <f>Cronograma!F90</f>
        <v>46351</v>
      </c>
    </row>
    <row r="26" spans="1:4">
      <c r="A26" s="20" t="str">
        <f>Cronograma!A93</f>
        <v>9.1</v>
      </c>
      <c r="B26" s="21" t="str">
        <f>Cronograma!B93</f>
        <v>Prévia da competição (ensaio geral)</v>
      </c>
      <c r="C26" s="22">
        <f>Cronograma!E93</f>
        <v>46354</v>
      </c>
      <c r="D26" s="22">
        <f>Cronograma!F93</f>
        <v>46354</v>
      </c>
    </row>
    <row r="27" spans="1:4">
      <c r="A27" s="20" t="str">
        <f>Cronograma!A102</f>
        <v>10.2</v>
      </c>
      <c r="B27" s="21" t="str">
        <f>Cronograma!B102</f>
        <v>Competição de Robôs Desviadores de Obstáculos</v>
      </c>
      <c r="C27" s="22">
        <f>Cronograma!E102</f>
        <v>46361</v>
      </c>
      <c r="D27" s="22">
        <f>Cronograma!F102</f>
        <v>46361</v>
      </c>
    </row>
    <row r="28" spans="1:4">
      <c r="A28" s="20" t="str">
        <f>Cronograma!A104</f>
        <v>10.3</v>
      </c>
      <c r="B28" s="21" t="str">
        <f>Cronograma!B104</f>
        <v>Lições aprendidas e encerramento do projeto</v>
      </c>
      <c r="C28" s="22">
        <f>Cronograma!E104</f>
        <v>46361</v>
      </c>
      <c r="D28" s="22">
        <f>Cronograma!F104</f>
        <v>46361</v>
      </c>
    </row>
    <row r="30" spans="1:4" ht="18" customHeight="1">
      <c r="A30" s="66" t="s">
        <v>236</v>
      </c>
      <c r="B30" s="66"/>
      <c r="C30" s="66"/>
      <c r="D30" s="66"/>
    </row>
    <row r="31" spans="1:4" ht="30" customHeight="1">
      <c r="A31" s="19" t="s">
        <v>237</v>
      </c>
      <c r="B31" s="19" t="s">
        <v>238</v>
      </c>
      <c r="C31" s="19" t="s">
        <v>239</v>
      </c>
      <c r="D31" s="19" t="s">
        <v>240</v>
      </c>
    </row>
    <row r="32" spans="1:4">
      <c r="A32" s="15" t="s">
        <v>241</v>
      </c>
      <c r="B32" s="4"/>
      <c r="C32" s="23"/>
      <c r="D32" s="23"/>
    </row>
    <row r="33" spans="1:4">
      <c r="A33" s="15" t="s">
        <v>242</v>
      </c>
      <c r="B33" s="4"/>
      <c r="C33" s="23"/>
      <c r="D33" s="23"/>
    </row>
    <row r="34" spans="1:4">
      <c r="A34" s="15" t="s">
        <v>243</v>
      </c>
      <c r="B34" s="4"/>
      <c r="C34" s="23"/>
      <c r="D34" s="23"/>
    </row>
    <row r="35" spans="1:4">
      <c r="A35" s="15" t="s">
        <v>244</v>
      </c>
      <c r="B35" s="4"/>
      <c r="C35" s="23"/>
      <c r="D35" s="23"/>
    </row>
  </sheetData>
  <mergeCells count="15">
    <mergeCell ref="B12:D12"/>
    <mergeCell ref="B13:D13"/>
    <mergeCell ref="B14:D14"/>
    <mergeCell ref="A16:D16"/>
    <mergeCell ref="A30:D30"/>
    <mergeCell ref="B7:D7"/>
    <mergeCell ref="B8:D8"/>
    <mergeCell ref="B9:D9"/>
    <mergeCell ref="B10:D10"/>
    <mergeCell ref="B11:D11"/>
    <mergeCell ref="A1:D1"/>
    <mergeCell ref="A2:D2"/>
    <mergeCell ref="A4:D4"/>
    <mergeCell ref="B5:D5"/>
    <mergeCell ref="B6:D6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5"/>
  <sheetViews>
    <sheetView showGridLines="0" topLeftCell="A4" zoomScaleNormal="100" workbookViewId="0">
      <selection sqref="A1:F1"/>
    </sheetView>
  </sheetViews>
  <sheetFormatPr defaultColWidth="8.5703125" defaultRowHeight="14.45"/>
  <cols>
    <col min="1" max="1" width="8" customWidth="1"/>
    <col min="2" max="2" width="48" customWidth="1"/>
    <col min="3" max="3" width="24" customWidth="1"/>
    <col min="4" max="4" width="11" customWidth="1"/>
    <col min="5" max="5" width="13" customWidth="1"/>
    <col min="6" max="6" width="40" customWidth="1"/>
  </cols>
  <sheetData>
    <row r="1" spans="1:6" ht="27.75" customHeight="1">
      <c r="A1" s="63" t="s">
        <v>245</v>
      </c>
      <c r="B1" s="63"/>
      <c r="C1" s="63"/>
      <c r="D1" s="63"/>
      <c r="E1" s="63"/>
      <c r="F1" s="63"/>
    </row>
    <row r="2" spans="1:6" ht="6" customHeight="1">
      <c r="A2" s="76"/>
      <c r="B2" s="76"/>
      <c r="C2" s="76"/>
      <c r="D2" s="76"/>
      <c r="E2" s="76"/>
      <c r="F2" s="76"/>
    </row>
    <row r="4" spans="1:6" ht="30" customHeight="1">
      <c r="A4" s="24" t="s">
        <v>246</v>
      </c>
      <c r="B4" s="24" t="s">
        <v>247</v>
      </c>
      <c r="C4" s="24" t="s">
        <v>71</v>
      </c>
      <c r="D4" s="24" t="s">
        <v>194</v>
      </c>
      <c r="E4" s="24" t="s">
        <v>195</v>
      </c>
      <c r="F4" s="24" t="s">
        <v>248</v>
      </c>
    </row>
    <row r="5" spans="1:6" ht="15" customHeight="1">
      <c r="A5" s="25" t="s">
        <v>26</v>
      </c>
      <c r="B5" s="68" t="s">
        <v>249</v>
      </c>
      <c r="C5" s="68"/>
      <c r="D5" s="68"/>
      <c r="E5" s="68"/>
      <c r="F5" s="68"/>
    </row>
    <row r="6" spans="1:6">
      <c r="A6" s="26" t="s">
        <v>76</v>
      </c>
      <c r="B6" s="21" t="str">
        <f>Cronograma!B5</f>
        <v>Reunião de abertura do projeto (kickoff)</v>
      </c>
      <c r="C6" s="23" t="str">
        <f>Cronograma!C5</f>
        <v>Professor + equipe</v>
      </c>
      <c r="D6" s="27">
        <f>Cronograma!E5</f>
        <v>46249</v>
      </c>
      <c r="E6" s="27">
        <f>Cronograma!F5</f>
        <v>46249</v>
      </c>
      <c r="F6" s="4" t="s">
        <v>250</v>
      </c>
    </row>
    <row r="7" spans="1:6">
      <c r="A7" s="26" t="s">
        <v>81</v>
      </c>
      <c r="B7" s="21" t="str">
        <f>Cronograma!B7</f>
        <v>Apresentação das regras da competição</v>
      </c>
      <c r="C7" s="23" t="str">
        <f>Cronograma!C7</f>
        <v>Professor</v>
      </c>
      <c r="D7" s="27">
        <f>Cronograma!E7</f>
        <v>46249</v>
      </c>
      <c r="E7" s="27">
        <f>Cronograma!F7</f>
        <v>46250</v>
      </c>
      <c r="F7" s="4" t="s">
        <v>251</v>
      </c>
    </row>
    <row r="8" spans="1:6">
      <c r="A8" s="26" t="s">
        <v>84</v>
      </c>
      <c r="B8" s="21" t="str">
        <f>Cronograma!B9</f>
        <v>Formação das equipes e definição de funções</v>
      </c>
      <c r="C8" s="23" t="str">
        <f>Cronograma!C9</f>
        <v>Equipe</v>
      </c>
      <c r="D8" s="27">
        <f>Cronograma!E9</f>
        <v>46249</v>
      </c>
      <c r="E8" s="27">
        <f>Cronograma!F9</f>
        <v>46249</v>
      </c>
      <c r="F8" s="4" t="s">
        <v>251</v>
      </c>
    </row>
    <row r="9" spans="1:6" ht="15" customHeight="1">
      <c r="A9" s="25" t="s">
        <v>42</v>
      </c>
      <c r="B9" s="68" t="s">
        <v>252</v>
      </c>
      <c r="C9" s="68"/>
      <c r="D9" s="68"/>
      <c r="E9" s="68"/>
      <c r="F9" s="68"/>
    </row>
    <row r="10" spans="1:6">
      <c r="A10" s="26" t="s">
        <v>88</v>
      </c>
      <c r="B10" s="21" t="str">
        <f>Cronograma!B12</f>
        <v>Pesquisa sobre robôs desviadores de obstáculos</v>
      </c>
      <c r="C10" s="23" t="str">
        <f>Cronograma!C12</f>
        <v>João Pedro</v>
      </c>
      <c r="D10" s="27">
        <f>Cronograma!E12</f>
        <v>46249</v>
      </c>
      <c r="E10" s="27">
        <f>Cronograma!F12</f>
        <v>46253</v>
      </c>
      <c r="F10" s="4" t="s">
        <v>251</v>
      </c>
    </row>
    <row r="11" spans="1:6">
      <c r="A11" s="26" t="s">
        <v>91</v>
      </c>
      <c r="B11" s="21" t="str">
        <f>Cronograma!B14</f>
        <v>Estudo do Arduino, sensores e servomotor</v>
      </c>
      <c r="C11" s="23" t="str">
        <f>Cronograma!C14</f>
        <v>João Pedro</v>
      </c>
      <c r="D11" s="27">
        <f>Cronograma!E14</f>
        <v>46254</v>
      </c>
      <c r="E11" s="27">
        <f>Cronograma!F14</f>
        <v>46258</v>
      </c>
      <c r="F11" s="4" t="s">
        <v>251</v>
      </c>
    </row>
    <row r="12" spans="1:6">
      <c r="A12" s="26" t="s">
        <v>93</v>
      </c>
      <c r="B12" s="21" t="str">
        <f>Cronograma!B16</f>
        <v>Definição dos requisitos funcionais</v>
      </c>
      <c r="C12" s="23" t="str">
        <f>Cronograma!C16</f>
        <v>Renan Rocha</v>
      </c>
      <c r="D12" s="27">
        <f>Cronograma!E16</f>
        <v>46258</v>
      </c>
      <c r="E12" s="27">
        <f>Cronograma!F16</f>
        <v>46260</v>
      </c>
      <c r="F12" s="4" t="s">
        <v>253</v>
      </c>
    </row>
    <row r="13" spans="1:6">
      <c r="A13" s="26" t="s">
        <v>96</v>
      </c>
      <c r="B13" s="21" t="str">
        <f>Cronograma!B18</f>
        <v>Lista de materiais (BOM)</v>
      </c>
      <c r="C13" s="23" t="str">
        <f>Cronograma!C18</f>
        <v>Renan Rocha</v>
      </c>
      <c r="D13" s="27">
        <f>Cronograma!E18</f>
        <v>46261</v>
      </c>
      <c r="E13" s="27">
        <f>Cronograma!F18</f>
        <v>46262</v>
      </c>
      <c r="F13" s="4" t="s">
        <v>254</v>
      </c>
    </row>
    <row r="14" spans="1:6" ht="15" customHeight="1">
      <c r="A14" s="25" t="s">
        <v>255</v>
      </c>
      <c r="B14" s="68" t="s">
        <v>256</v>
      </c>
      <c r="C14" s="68"/>
      <c r="D14" s="68"/>
      <c r="E14" s="68"/>
      <c r="F14" s="68"/>
    </row>
    <row r="15" spans="1:6">
      <c r="A15" s="26" t="s">
        <v>99</v>
      </c>
      <c r="B15" s="21" t="str">
        <f>Cronograma!B21</f>
        <v>Projeto conceitual do chassi (croqui)</v>
      </c>
      <c r="C15" s="23" t="str">
        <f>Cronograma!C21</f>
        <v>Artur Oliveira</v>
      </c>
      <c r="D15" s="27">
        <f>Cronograma!E21</f>
        <v>46256</v>
      </c>
      <c r="E15" s="27">
        <f>Cronograma!F21</f>
        <v>46260</v>
      </c>
      <c r="F15" s="4" t="s">
        <v>251</v>
      </c>
    </row>
    <row r="16" spans="1:6">
      <c r="A16" s="26" t="s">
        <v>102</v>
      </c>
      <c r="B16" s="21" t="str">
        <f>Cronograma!B23</f>
        <v>Molde em papel cartão (estudo prévio)</v>
      </c>
      <c r="C16" s="23" t="str">
        <f>Cronograma!C23</f>
        <v>Artur Oliveira</v>
      </c>
      <c r="D16" s="27">
        <f>Cronograma!E23</f>
        <v>46261</v>
      </c>
      <c r="E16" s="27">
        <f>Cronograma!F23</f>
        <v>46262</v>
      </c>
      <c r="F16" s="4" t="s">
        <v>257</v>
      </c>
    </row>
    <row r="17" spans="1:6">
      <c r="A17" s="26" t="s">
        <v>104</v>
      </c>
      <c r="B17" s="21" t="str">
        <f>Cronograma!B25</f>
        <v>Validação do molde e ajustes</v>
      </c>
      <c r="C17" s="23" t="str">
        <f>Cronograma!C25</f>
        <v>Equipe</v>
      </c>
      <c r="D17" s="27">
        <f>Cronograma!E25</f>
        <v>46265</v>
      </c>
      <c r="E17" s="27">
        <f>Cronograma!F25</f>
        <v>46266</v>
      </c>
      <c r="F17" s="4" t="s">
        <v>251</v>
      </c>
    </row>
    <row r="18" spans="1:6">
      <c r="A18" s="26" t="s">
        <v>106</v>
      </c>
      <c r="B18" s="21" t="str">
        <f>Cronograma!B27</f>
        <v>Desenho final do chassi (para corte MDF ou acrílico)</v>
      </c>
      <c r="C18" s="23" t="str">
        <f>Cronograma!C27</f>
        <v>Artur Oliveira</v>
      </c>
      <c r="D18" s="27">
        <f>Cronograma!E27</f>
        <v>46267</v>
      </c>
      <c r="E18" s="27">
        <f>Cronograma!F27</f>
        <v>46270</v>
      </c>
      <c r="F18" s="4" t="s">
        <v>258</v>
      </c>
    </row>
    <row r="19" spans="1:6" ht="23.1">
      <c r="A19" s="26" t="s">
        <v>108</v>
      </c>
      <c r="B19" s="21" t="str">
        <f>Cronograma!B29</f>
        <v>Projeto do suporte do servomotor e do sensor ultrassônico (para corte MDF ou acrílico)</v>
      </c>
      <c r="C19" s="23" t="str">
        <f>Cronograma!C29</f>
        <v>Equipe</v>
      </c>
      <c r="D19" s="27">
        <f>Cronograma!E29</f>
        <v>46272</v>
      </c>
      <c r="E19" s="27">
        <f>Cronograma!F29</f>
        <v>46274</v>
      </c>
      <c r="F19" s="4" t="s">
        <v>251</v>
      </c>
    </row>
    <row r="20" spans="1:6">
      <c r="A20" s="26" t="s">
        <v>110</v>
      </c>
      <c r="B20" s="21" t="str">
        <f>Cronograma!B31</f>
        <v>Revisão técnica do chassi</v>
      </c>
      <c r="C20" s="23" t="str">
        <f>Cronograma!C31</f>
        <v>Professor + equipe</v>
      </c>
      <c r="D20" s="27">
        <f>Cronograma!E31</f>
        <v>46275</v>
      </c>
      <c r="E20" s="27">
        <f>Cronograma!F31</f>
        <v>46276</v>
      </c>
      <c r="F20" s="4" t="s">
        <v>251</v>
      </c>
    </row>
    <row r="21" spans="1:6">
      <c r="A21" s="26" t="s">
        <v>112</v>
      </c>
      <c r="B21" s="21" t="str">
        <f>Cronograma!B33</f>
        <v>Preparação dos arquivos para corte</v>
      </c>
      <c r="C21" s="23" t="str">
        <f>Cronograma!C33</f>
        <v>Artur Oliveira</v>
      </c>
      <c r="D21" s="27">
        <f>Cronograma!E33</f>
        <v>46277</v>
      </c>
      <c r="E21" s="27">
        <f>Cronograma!F33</f>
        <v>46277</v>
      </c>
      <c r="F21" s="4" t="s">
        <v>251</v>
      </c>
    </row>
    <row r="22" spans="1:6" ht="15" customHeight="1">
      <c r="A22" s="25" t="s">
        <v>259</v>
      </c>
      <c r="B22" s="68" t="s">
        <v>260</v>
      </c>
      <c r="C22" s="68"/>
      <c r="D22" s="68"/>
      <c r="E22" s="68"/>
      <c r="F22" s="68"/>
    </row>
    <row r="23" spans="1:6">
      <c r="A23" s="26" t="s">
        <v>115</v>
      </c>
      <c r="B23" s="21" t="str">
        <f>Cronograma!B36</f>
        <v>Cotação de componentes</v>
      </c>
      <c r="C23" s="23" t="str">
        <f>Cronograma!C36</f>
        <v>João Pedro</v>
      </c>
      <c r="D23" s="27">
        <f>Cronograma!E36</f>
        <v>46256</v>
      </c>
      <c r="E23" s="27">
        <f>Cronograma!F36</f>
        <v>46267</v>
      </c>
      <c r="F23" s="4" t="s">
        <v>251</v>
      </c>
    </row>
    <row r="24" spans="1:6">
      <c r="A24" s="26" t="s">
        <v>117</v>
      </c>
      <c r="B24" s="21" t="str">
        <f>Cronograma!B38</f>
        <v>Compra dos componentes (inclui servomotor)</v>
      </c>
      <c r="C24" s="23" t="str">
        <f>Cronograma!C38</f>
        <v>João Pedro</v>
      </c>
      <c r="D24" s="27">
        <f>Cronograma!E38</f>
        <v>46268</v>
      </c>
      <c r="E24" s="27">
        <f>Cronograma!F38</f>
        <v>46276</v>
      </c>
      <c r="F24" s="4" t="s">
        <v>251</v>
      </c>
    </row>
    <row r="25" spans="1:6">
      <c r="A25" s="26" t="s">
        <v>119</v>
      </c>
      <c r="B25" s="21" t="str">
        <f>Cronograma!B40</f>
        <v>Recebimento e conferência do material</v>
      </c>
      <c r="C25" s="23" t="str">
        <f>Cronograma!C40</f>
        <v>João Pedro</v>
      </c>
      <c r="D25" s="27">
        <f>Cronograma!E40</f>
        <v>46277</v>
      </c>
      <c r="E25" s="27">
        <f>Cronograma!F40</f>
        <v>46279</v>
      </c>
      <c r="F25" s="4" t="s">
        <v>261</v>
      </c>
    </row>
    <row r="26" spans="1:6" ht="15" customHeight="1">
      <c r="A26" s="25" t="s">
        <v>262</v>
      </c>
      <c r="B26" s="68" t="s">
        <v>263</v>
      </c>
      <c r="C26" s="68"/>
      <c r="D26" s="68"/>
      <c r="E26" s="68"/>
      <c r="F26" s="68"/>
    </row>
    <row r="27" spans="1:6">
      <c r="A27" s="26" t="s">
        <v>122</v>
      </c>
      <c r="B27" s="21" t="str">
        <f>Cronograma!B43</f>
        <v>Corte do chassi em MDF/acrílico</v>
      </c>
      <c r="C27" s="23" t="str">
        <f>Cronograma!C43</f>
        <v>Renan Rocha</v>
      </c>
      <c r="D27" s="27">
        <f>Cronograma!E43</f>
        <v>46280</v>
      </c>
      <c r="E27" s="27">
        <f>Cronograma!F43</f>
        <v>46281</v>
      </c>
      <c r="F27" s="4" t="s">
        <v>264</v>
      </c>
    </row>
    <row r="28" spans="1:6">
      <c r="A28" s="26" t="s">
        <v>124</v>
      </c>
      <c r="B28" s="21" t="str">
        <f>Cronograma!B45</f>
        <v>Conferência das peças cortadas</v>
      </c>
      <c r="C28" s="23" t="str">
        <f>Cronograma!C45</f>
        <v>Renan Rocha</v>
      </c>
      <c r="D28" s="27">
        <f>Cronograma!E45</f>
        <v>46282</v>
      </c>
      <c r="E28" s="27">
        <f>Cronograma!F45</f>
        <v>46282</v>
      </c>
      <c r="F28" s="4" t="s">
        <v>251</v>
      </c>
    </row>
    <row r="29" spans="1:6">
      <c r="A29" s="26" t="s">
        <v>126</v>
      </c>
      <c r="B29" s="21" t="str">
        <f>Cronograma!B47</f>
        <v>Montagem mecânica (motores, rodas)</v>
      </c>
      <c r="C29" s="23" t="str">
        <f>Cronograma!C47</f>
        <v>Renan Rocha</v>
      </c>
      <c r="D29" s="27">
        <f>Cronograma!E47</f>
        <v>46283</v>
      </c>
      <c r="E29" s="27">
        <f>Cronograma!F47</f>
        <v>46287</v>
      </c>
      <c r="F29" s="4" t="s">
        <v>251</v>
      </c>
    </row>
    <row r="30" spans="1:6">
      <c r="A30" s="26" t="s">
        <v>128</v>
      </c>
      <c r="B30" s="21" t="str">
        <f>Cronograma!B49</f>
        <v>Instalação do servomotor e do suporte do sensor ultrassônico</v>
      </c>
      <c r="C30" s="23" t="str">
        <f>Cronograma!C49</f>
        <v>Equipe</v>
      </c>
      <c r="D30" s="27">
        <f>Cronograma!E49</f>
        <v>46287</v>
      </c>
      <c r="E30" s="27">
        <f>Cronograma!F49</f>
        <v>46289</v>
      </c>
      <c r="F30" s="4" t="s">
        <v>251</v>
      </c>
    </row>
    <row r="31" spans="1:6" ht="23.1">
      <c r="A31" s="26" t="s">
        <v>130</v>
      </c>
      <c r="B31" s="21" t="str">
        <f>Cronograma!B51</f>
        <v>Montagem eletrônica (Arduino, ponte H, sensores, servo, bateria)</v>
      </c>
      <c r="C31" s="23" t="str">
        <f>Cronograma!C51</f>
        <v>Renan Rocha</v>
      </c>
      <c r="D31" s="27">
        <f>Cronograma!E51</f>
        <v>46289</v>
      </c>
      <c r="E31" s="27">
        <f>Cronograma!F51</f>
        <v>46291</v>
      </c>
      <c r="F31" s="4" t="s">
        <v>251</v>
      </c>
    </row>
    <row r="32" spans="1:6">
      <c r="A32" s="26" t="s">
        <v>132</v>
      </c>
      <c r="B32" s="21" t="str">
        <f>Cronograma!B53</f>
        <v>Verificação das conexões – robô montado</v>
      </c>
      <c r="C32" s="23" t="str">
        <f>Cronograma!C53</f>
        <v>Renan Rocha</v>
      </c>
      <c r="D32" s="27">
        <f>Cronograma!E53</f>
        <v>46294</v>
      </c>
      <c r="E32" s="27">
        <f>Cronograma!F53</f>
        <v>46295</v>
      </c>
      <c r="F32" s="4" t="s">
        <v>265</v>
      </c>
    </row>
    <row r="33" spans="1:6" ht="15" customHeight="1">
      <c r="A33" s="25" t="s">
        <v>266</v>
      </c>
      <c r="B33" s="68" t="s">
        <v>267</v>
      </c>
      <c r="C33" s="68"/>
      <c r="D33" s="68"/>
      <c r="E33" s="68"/>
      <c r="F33" s="68"/>
    </row>
    <row r="34" spans="1:6">
      <c r="A34" s="26" t="s">
        <v>135</v>
      </c>
      <c r="B34" s="21" t="str">
        <f>Cronograma!B56</f>
        <v>Programação dos motores (frente/trás/giro/parar)</v>
      </c>
      <c r="C34" s="23" t="str">
        <f>Cronograma!C56</f>
        <v>Matheus Gueiros</v>
      </c>
      <c r="D34" s="27">
        <f>Cronograma!E56</f>
        <v>46296</v>
      </c>
      <c r="E34" s="27">
        <f>Cronograma!F56</f>
        <v>46297</v>
      </c>
      <c r="F34" s="4" t="s">
        <v>251</v>
      </c>
    </row>
    <row r="35" spans="1:6">
      <c r="A35" s="26" t="s">
        <v>138</v>
      </c>
      <c r="B35" s="21" t="str">
        <f>Cronograma!B58</f>
        <v>Controle de velocidade via PWM</v>
      </c>
      <c r="C35" s="23" t="str">
        <f>Cronograma!C58</f>
        <v>João Pedro</v>
      </c>
      <c r="D35" s="27">
        <f>Cronograma!E58</f>
        <v>46297</v>
      </c>
      <c r="E35" s="27">
        <f>Cronograma!F58</f>
        <v>46298</v>
      </c>
      <c r="F35" s="4" t="s">
        <v>251</v>
      </c>
    </row>
    <row r="36" spans="1:6">
      <c r="A36" s="26" t="s">
        <v>140</v>
      </c>
      <c r="B36" s="21" t="str">
        <f>Cronograma!B60</f>
        <v>Programação do sensor ultrassônico</v>
      </c>
      <c r="C36" s="23" t="str">
        <f>Cronograma!C60</f>
        <v>Matheus Gueiros</v>
      </c>
      <c r="D36" s="27">
        <f>Cronograma!E60</f>
        <v>46300</v>
      </c>
      <c r="E36" s="27">
        <f>Cronograma!F60</f>
        <v>46301</v>
      </c>
      <c r="F36" s="4" t="s">
        <v>251</v>
      </c>
    </row>
    <row r="37" spans="1:6">
      <c r="A37" s="26" t="s">
        <v>142</v>
      </c>
      <c r="B37" s="21" t="str">
        <f>Cronograma!B62</f>
        <v>Programação do sensor de obstáculo (infravermelho)</v>
      </c>
      <c r="C37" s="23" t="str">
        <f>Cronograma!C62</f>
        <v>Matheus Gueiros</v>
      </c>
      <c r="D37" s="27">
        <f>Cronograma!E62</f>
        <v>46301</v>
      </c>
      <c r="E37" s="27">
        <f>Cronograma!F62</f>
        <v>46302</v>
      </c>
      <c r="F37" s="4" t="s">
        <v>251</v>
      </c>
    </row>
    <row r="38" spans="1:6">
      <c r="A38" s="26" t="s">
        <v>144</v>
      </c>
      <c r="B38" s="21" t="str">
        <f>Cronograma!B64</f>
        <v>Programação do servomotor (varredura do sensor)</v>
      </c>
      <c r="C38" s="23" t="str">
        <f>Cronograma!C64</f>
        <v>Equipe</v>
      </c>
      <c r="D38" s="27">
        <f>Cronograma!E64</f>
        <v>46302</v>
      </c>
      <c r="E38" s="27">
        <f>Cronograma!F64</f>
        <v>46303</v>
      </c>
      <c r="F38" s="4" t="s">
        <v>251</v>
      </c>
    </row>
    <row r="39" spans="1:6">
      <c r="A39" s="26" t="s">
        <v>146</v>
      </c>
      <c r="B39" s="21" t="str">
        <f>Cronograma!B66</f>
        <v>Calibração dos sensores e do servomotor</v>
      </c>
      <c r="C39" s="23" t="str">
        <f>Cronograma!C66</f>
        <v>João Pedro</v>
      </c>
      <c r="D39" s="27">
        <f>Cronograma!E66</f>
        <v>46304</v>
      </c>
      <c r="E39" s="27">
        <f>Cronograma!F66</f>
        <v>46308</v>
      </c>
      <c r="F39" s="4" t="s">
        <v>268</v>
      </c>
    </row>
    <row r="40" spans="1:6" ht="15" customHeight="1">
      <c r="A40" s="25" t="s">
        <v>269</v>
      </c>
      <c r="B40" s="68" t="s">
        <v>270</v>
      </c>
      <c r="C40" s="68"/>
      <c r="D40" s="68"/>
      <c r="E40" s="68"/>
      <c r="F40" s="68"/>
    </row>
    <row r="41" spans="1:6">
      <c r="A41" s="26" t="s">
        <v>149</v>
      </c>
      <c r="B41" s="21" t="str">
        <f>Cronograma!B69</f>
        <v>Lógica de decisão (desvio com varredura do servo)</v>
      </c>
      <c r="C41" s="23" t="str">
        <f>Cronograma!C69</f>
        <v>Matheus Gueiros</v>
      </c>
      <c r="D41" s="27">
        <f>Cronograma!E69</f>
        <v>46309</v>
      </c>
      <c r="E41" s="27">
        <f>Cronograma!F69</f>
        <v>46315</v>
      </c>
      <c r="F41" s="4" t="s">
        <v>251</v>
      </c>
    </row>
    <row r="42" spans="1:6">
      <c r="A42" s="26" t="s">
        <v>151</v>
      </c>
      <c r="B42" s="21" t="str">
        <f>Cronograma!B71</f>
        <v>Integração hardware + software</v>
      </c>
      <c r="C42" s="23" t="str">
        <f>Cronograma!C71</f>
        <v>Matheus Gueiros</v>
      </c>
      <c r="D42" s="27">
        <f>Cronograma!E71</f>
        <v>46316</v>
      </c>
      <c r="E42" s="27">
        <f>Cronograma!F71</f>
        <v>46318</v>
      </c>
      <c r="F42" s="4" t="s">
        <v>271</v>
      </c>
    </row>
    <row r="43" spans="1:6">
      <c r="A43" s="26" t="s">
        <v>153</v>
      </c>
      <c r="B43" s="21" t="str">
        <f>Cronograma!B73</f>
        <v>Teste de deslocamento em linha reta</v>
      </c>
      <c r="C43" s="23" t="str">
        <f>Cronograma!C73</f>
        <v>Matheus Gueiros</v>
      </c>
      <c r="D43" s="27">
        <f>Cronograma!E73</f>
        <v>46319</v>
      </c>
      <c r="E43" s="27">
        <f>Cronograma!F73</f>
        <v>46320</v>
      </c>
      <c r="F43" s="4" t="s">
        <v>251</v>
      </c>
    </row>
    <row r="44" spans="1:6">
      <c r="A44" s="26" t="s">
        <v>155</v>
      </c>
      <c r="B44" s="21" t="str">
        <f>Cronograma!B75</f>
        <v>Teste de desvio de obstáculos</v>
      </c>
      <c r="C44" s="23" t="str">
        <f>Cronograma!C75</f>
        <v>Matheus Gueiros</v>
      </c>
      <c r="D44" s="27">
        <f>Cronograma!E75</f>
        <v>46321</v>
      </c>
      <c r="E44" s="27">
        <f>Cronograma!F75</f>
        <v>46323</v>
      </c>
      <c r="F44" s="4" t="s">
        <v>251</v>
      </c>
    </row>
    <row r="45" spans="1:6">
      <c r="A45" s="26" t="s">
        <v>157</v>
      </c>
      <c r="B45" s="21" t="str">
        <f>Cronograma!B77</f>
        <v>Otimização do percurso</v>
      </c>
      <c r="C45" s="23" t="str">
        <f>Cronograma!C77</f>
        <v>João Pedro</v>
      </c>
      <c r="D45" s="27">
        <f>Cronograma!E77</f>
        <v>46324</v>
      </c>
      <c r="E45" s="27">
        <f>Cronograma!F77</f>
        <v>46326</v>
      </c>
      <c r="F45" s="4" t="s">
        <v>251</v>
      </c>
    </row>
    <row r="46" spans="1:6" ht="15" customHeight="1">
      <c r="A46" s="25" t="s">
        <v>272</v>
      </c>
      <c r="B46" s="68" t="s">
        <v>273</v>
      </c>
      <c r="C46" s="68"/>
      <c r="D46" s="68"/>
      <c r="E46" s="68"/>
      <c r="F46" s="68"/>
    </row>
    <row r="47" spans="1:6">
      <c r="A47" s="26" t="s">
        <v>160</v>
      </c>
      <c r="B47" s="21" t="str">
        <f>Cronograma!B80</f>
        <v>Teste de percurso completo</v>
      </c>
      <c r="C47" s="23" t="str">
        <f>Cronograma!C80</f>
        <v>Equipe</v>
      </c>
      <c r="D47" s="27">
        <f>Cronograma!E80</f>
        <v>46328</v>
      </c>
      <c r="E47" s="27">
        <f>Cronograma!F80</f>
        <v>46329</v>
      </c>
      <c r="F47" s="4" t="s">
        <v>251</v>
      </c>
    </row>
    <row r="48" spans="1:6">
      <c r="A48" s="26" t="s">
        <v>162</v>
      </c>
      <c r="B48" s="21" t="str">
        <f>Cronograma!B82</f>
        <v>Ajustes finais</v>
      </c>
      <c r="C48" s="23" t="str">
        <f>Cronograma!C82</f>
        <v>Equipe</v>
      </c>
      <c r="D48" s="27">
        <f>Cronograma!E82</f>
        <v>46330</v>
      </c>
      <c r="E48" s="27">
        <f>Cronograma!F82</f>
        <v>46332</v>
      </c>
      <c r="F48" s="4" t="s">
        <v>251</v>
      </c>
    </row>
    <row r="49" spans="1:6">
      <c r="A49" s="26" t="s">
        <v>164</v>
      </c>
      <c r="B49" s="21" t="str">
        <f>Cronograma!B84</f>
        <v>Caderno de projeto</v>
      </c>
      <c r="C49" s="23" t="str">
        <f>Cronograma!C84</f>
        <v>Equipe</v>
      </c>
      <c r="D49" s="27">
        <f>Cronograma!E84</f>
        <v>46343</v>
      </c>
      <c r="E49" s="27">
        <f>Cronograma!F84</f>
        <v>46354</v>
      </c>
      <c r="F49" s="4" t="s">
        <v>274</v>
      </c>
    </row>
    <row r="50" spans="1:6">
      <c r="A50" s="26" t="s">
        <v>166</v>
      </c>
      <c r="B50" s="21" t="str">
        <f>Cronograma!B86</f>
        <v>Banner do projeto</v>
      </c>
      <c r="C50" s="23" t="str">
        <f>Cronograma!C86</f>
        <v>Equipe</v>
      </c>
      <c r="D50" s="27">
        <f>Cronograma!E86</f>
        <v>46335</v>
      </c>
      <c r="E50" s="27">
        <f>Cronograma!F86</f>
        <v>46354</v>
      </c>
      <c r="F50" s="4" t="s">
        <v>275</v>
      </c>
    </row>
    <row r="51" spans="1:6">
      <c r="A51" s="26" t="s">
        <v>168</v>
      </c>
      <c r="B51" s="21" t="str">
        <f>Cronograma!B88</f>
        <v>Apresentação em PowerPoint</v>
      </c>
      <c r="C51" s="23" t="str">
        <f>Cronograma!C88</f>
        <v>Equipe</v>
      </c>
      <c r="D51" s="27">
        <f>Cronograma!E88</f>
        <v>46335</v>
      </c>
      <c r="E51" s="27">
        <f>Cronograma!F88</f>
        <v>46354</v>
      </c>
      <c r="F51" s="4" t="s">
        <v>276</v>
      </c>
    </row>
    <row r="52" spans="1:6">
      <c r="A52" s="26" t="s">
        <v>170</v>
      </c>
      <c r="B52" s="21" t="str">
        <f>Cronograma!B90</f>
        <v>Inspeção mecânica e elétrica (checklist)</v>
      </c>
      <c r="C52" s="23" t="str">
        <f>Cronograma!C90</f>
        <v>Professor + equipe</v>
      </c>
      <c r="D52" s="27">
        <f>Cronograma!E90</f>
        <v>46350</v>
      </c>
      <c r="E52" s="27">
        <f>Cronograma!F90</f>
        <v>46351</v>
      </c>
      <c r="F52" s="4" t="s">
        <v>277</v>
      </c>
    </row>
    <row r="53" spans="1:6" ht="15" customHeight="1">
      <c r="A53" s="25" t="s">
        <v>278</v>
      </c>
      <c r="B53" s="68" t="s">
        <v>279</v>
      </c>
      <c r="C53" s="68"/>
      <c r="D53" s="68"/>
      <c r="E53" s="68"/>
      <c r="F53" s="68"/>
    </row>
    <row r="54" spans="1:6">
      <c r="A54" s="26" t="s">
        <v>173</v>
      </c>
      <c r="B54" s="21" t="str">
        <f>Cronograma!B93</f>
        <v>Prévia da competição (ensaio geral)</v>
      </c>
      <c r="C54" s="23" t="str">
        <f>Cronograma!C93</f>
        <v>Professor + equipe</v>
      </c>
      <c r="D54" s="27">
        <f>Cronograma!E93</f>
        <v>46354</v>
      </c>
      <c r="E54" s="27">
        <f>Cronograma!F93</f>
        <v>46354</v>
      </c>
      <c r="F54" s="4" t="s">
        <v>280</v>
      </c>
    </row>
    <row r="55" spans="1:6">
      <c r="A55" s="26" t="s">
        <v>175</v>
      </c>
      <c r="B55" s="21" t="str">
        <f>Cronograma!B95</f>
        <v>Análise dos resultados da prévia e ajustes finais</v>
      </c>
      <c r="C55" s="23" t="str">
        <f>Cronograma!C95</f>
        <v>Equipe</v>
      </c>
      <c r="D55" s="27">
        <f>Cronograma!E95</f>
        <v>46356</v>
      </c>
      <c r="E55" s="27">
        <f>Cronograma!F95</f>
        <v>46358</v>
      </c>
      <c r="F55" s="4" t="s">
        <v>251</v>
      </c>
    </row>
    <row r="56" spans="1:6">
      <c r="A56" s="26" t="s">
        <v>177</v>
      </c>
      <c r="B56" s="21" t="str">
        <f>Cronograma!B97</f>
        <v>Checklist final pré-competição</v>
      </c>
      <c r="C56" s="23" t="str">
        <f>Cronograma!C97</f>
        <v>Professor + equipe</v>
      </c>
      <c r="D56" s="27">
        <f>Cronograma!E97</f>
        <v>46359</v>
      </c>
      <c r="E56" s="27">
        <f>Cronograma!F97</f>
        <v>46360</v>
      </c>
      <c r="F56" s="4" t="s">
        <v>251</v>
      </c>
    </row>
    <row r="57" spans="1:6" ht="15" customHeight="1">
      <c r="A57" s="25" t="s">
        <v>281</v>
      </c>
      <c r="B57" s="68" t="s">
        <v>282</v>
      </c>
      <c r="C57" s="68"/>
      <c r="D57" s="68"/>
      <c r="E57" s="68"/>
      <c r="F57" s="68"/>
    </row>
    <row r="58" spans="1:6">
      <c r="A58" s="26" t="s">
        <v>180</v>
      </c>
      <c r="B58" s="21" t="str">
        <f>Cronograma!B100</f>
        <v>Teste final na véspera da competição</v>
      </c>
      <c r="C58" s="23" t="str">
        <f>Cronograma!C100</f>
        <v>Equipe</v>
      </c>
      <c r="D58" s="27">
        <f>Cronograma!E100</f>
        <v>46360</v>
      </c>
      <c r="E58" s="27">
        <f>Cronograma!F100</f>
        <v>46360</v>
      </c>
      <c r="F58" s="4" t="s">
        <v>251</v>
      </c>
    </row>
    <row r="59" spans="1:6">
      <c r="A59" s="26" t="s">
        <v>182</v>
      </c>
      <c r="B59" s="21" t="str">
        <f>Cronograma!B102</f>
        <v>Competição de Robôs Desviadores de Obstáculos</v>
      </c>
      <c r="C59" s="23" t="str">
        <f>Cronograma!C102</f>
        <v>Professor + equipe</v>
      </c>
      <c r="D59" s="27">
        <f>Cronograma!E102</f>
        <v>46361</v>
      </c>
      <c r="E59" s="27">
        <f>Cronograma!F102</f>
        <v>46361</v>
      </c>
      <c r="F59" s="4" t="s">
        <v>283</v>
      </c>
    </row>
    <row r="60" spans="1:6">
      <c r="A60" s="26" t="s">
        <v>184</v>
      </c>
      <c r="B60" s="21" t="str">
        <f>Cronograma!B104</f>
        <v>Lições aprendidas e encerramento do projeto</v>
      </c>
      <c r="C60" s="23" t="str">
        <f>Cronograma!C104</f>
        <v>Professor + equipe</v>
      </c>
      <c r="D60" s="27">
        <f>Cronograma!E104</f>
        <v>46361</v>
      </c>
      <c r="E60" s="27">
        <f>Cronograma!F104</f>
        <v>46361</v>
      </c>
      <c r="F60" s="4" t="s">
        <v>284</v>
      </c>
    </row>
    <row r="62" spans="1:6" ht="18" customHeight="1">
      <c r="A62" s="69" t="s">
        <v>285</v>
      </c>
      <c r="B62" s="69"/>
      <c r="C62" s="69"/>
      <c r="D62" s="69"/>
      <c r="E62" s="69"/>
      <c r="F62" s="69"/>
    </row>
    <row r="63" spans="1:6" ht="15" customHeight="1">
      <c r="A63" s="56" t="s">
        <v>286</v>
      </c>
      <c r="B63" s="56"/>
      <c r="C63" s="56"/>
      <c r="D63" s="56"/>
      <c r="E63" s="56"/>
      <c r="F63" s="56"/>
    </row>
    <row r="64" spans="1:6" ht="15" customHeight="1">
      <c r="A64" s="56" t="s">
        <v>287</v>
      </c>
      <c r="B64" s="56"/>
      <c r="C64" s="56"/>
      <c r="D64" s="56"/>
      <c r="E64" s="56"/>
      <c r="F64" s="56"/>
    </row>
    <row r="65" spans="1:6" ht="15" customHeight="1">
      <c r="A65" s="56" t="s">
        <v>288</v>
      </c>
      <c r="B65" s="56"/>
      <c r="C65" s="56"/>
      <c r="D65" s="56"/>
      <c r="E65" s="56"/>
      <c r="F65" s="56"/>
    </row>
  </sheetData>
  <mergeCells count="16">
    <mergeCell ref="A65:F65"/>
    <mergeCell ref="B53:F53"/>
    <mergeCell ref="B57:F57"/>
    <mergeCell ref="A62:F62"/>
    <mergeCell ref="A63:F63"/>
    <mergeCell ref="A64:F64"/>
    <mergeCell ref="B22:F22"/>
    <mergeCell ref="B26:F26"/>
    <mergeCell ref="B33:F33"/>
    <mergeCell ref="B40:F40"/>
    <mergeCell ref="B46:F46"/>
    <mergeCell ref="A1:F1"/>
    <mergeCell ref="A2:F2"/>
    <mergeCell ref="B5:F5"/>
    <mergeCell ref="B9:F9"/>
    <mergeCell ref="B14:F1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2"/>
  <sheetViews>
    <sheetView showGridLines="0" tabSelected="1" zoomScaleNormal="100" workbookViewId="0">
      <selection activeCell="E18" sqref="E18"/>
    </sheetView>
  </sheetViews>
  <sheetFormatPr defaultColWidth="8.5703125" defaultRowHeight="14.45"/>
  <cols>
    <col min="1" max="1" width="6" customWidth="1"/>
    <col min="2" max="2" width="46" customWidth="1"/>
    <col min="3" max="3" width="20" customWidth="1"/>
    <col min="4" max="6" width="17" customWidth="1"/>
  </cols>
  <sheetData>
    <row r="1" spans="1:6" ht="27.75" customHeight="1">
      <c r="A1" s="63" t="s">
        <v>289</v>
      </c>
      <c r="B1" s="63"/>
      <c r="C1" s="63"/>
      <c r="D1" s="63"/>
      <c r="E1" s="63"/>
      <c r="F1" s="63"/>
    </row>
    <row r="2" spans="1:6" ht="6" customHeight="1">
      <c r="A2" s="76"/>
      <c r="B2" s="76"/>
      <c r="C2" s="76"/>
      <c r="D2" s="76"/>
      <c r="E2" s="76"/>
      <c r="F2" s="76"/>
    </row>
    <row r="4" spans="1:6" ht="30" customHeight="1">
      <c r="A4" s="28" t="s">
        <v>69</v>
      </c>
      <c r="B4" s="28" t="s">
        <v>290</v>
      </c>
      <c r="C4" s="28" t="s">
        <v>291</v>
      </c>
      <c r="D4" s="28" t="s">
        <v>292</v>
      </c>
      <c r="E4" s="28" t="s">
        <v>293</v>
      </c>
      <c r="F4" s="28" t="s">
        <v>294</v>
      </c>
    </row>
    <row r="5" spans="1:6" ht="15">
      <c r="A5" s="29">
        <v>1</v>
      </c>
      <c r="B5" s="4" t="s">
        <v>295</v>
      </c>
      <c r="C5" s="23" t="s">
        <v>296</v>
      </c>
      <c r="D5" s="30">
        <v>50</v>
      </c>
      <c r="E5" s="30">
        <v>34.69</v>
      </c>
      <c r="F5" s="31">
        <f t="shared" ref="F5:F17" si="0">IF(E5="","",E5-D5)</f>
        <v>-15.310000000000002</v>
      </c>
    </row>
    <row r="6" spans="1:6" ht="15">
      <c r="A6" s="29">
        <v>2</v>
      </c>
      <c r="B6" s="4" t="s">
        <v>297</v>
      </c>
      <c r="C6" s="23" t="s">
        <v>298</v>
      </c>
      <c r="D6" s="30">
        <v>12</v>
      </c>
      <c r="E6" s="30">
        <v>12.46</v>
      </c>
      <c r="F6" s="31">
        <f t="shared" si="0"/>
        <v>0.46000000000000085</v>
      </c>
    </row>
    <row r="7" spans="1:6" ht="15">
      <c r="A7" s="29">
        <v>3</v>
      </c>
      <c r="B7" s="4" t="s">
        <v>299</v>
      </c>
      <c r="C7" s="23" t="s">
        <v>300</v>
      </c>
      <c r="D7" s="30">
        <v>18</v>
      </c>
      <c r="E7" s="30">
        <v>0</v>
      </c>
      <c r="F7" s="31">
        <f t="shared" si="0"/>
        <v>-18</v>
      </c>
    </row>
    <row r="8" spans="1:6" ht="15">
      <c r="A8" s="29">
        <v>4</v>
      </c>
      <c r="B8" s="4" t="s">
        <v>301</v>
      </c>
      <c r="C8" s="23" t="s">
        <v>298</v>
      </c>
      <c r="D8" s="30">
        <v>14</v>
      </c>
      <c r="E8" s="30">
        <v>17.73</v>
      </c>
      <c r="F8" s="31">
        <f t="shared" si="0"/>
        <v>3.7300000000000004</v>
      </c>
    </row>
    <row r="9" spans="1:6" ht="15">
      <c r="A9" s="29">
        <v>5</v>
      </c>
      <c r="B9" s="4" t="s">
        <v>302</v>
      </c>
      <c r="C9" s="23" t="s">
        <v>303</v>
      </c>
      <c r="D9" s="30">
        <v>18</v>
      </c>
      <c r="E9" s="30">
        <v>19.190000000000001</v>
      </c>
      <c r="F9" s="31">
        <f t="shared" si="0"/>
        <v>1.1900000000000013</v>
      </c>
    </row>
    <row r="10" spans="1:6" ht="15">
      <c r="A10" s="29">
        <v>6</v>
      </c>
      <c r="B10" s="4" t="s">
        <v>304</v>
      </c>
      <c r="C10" s="23" t="s">
        <v>305</v>
      </c>
      <c r="D10" s="30">
        <v>30</v>
      </c>
      <c r="E10" s="30">
        <v>31.67</v>
      </c>
      <c r="F10" s="31">
        <f t="shared" si="0"/>
        <v>1.6700000000000017</v>
      </c>
    </row>
    <row r="11" spans="1:6" ht="15">
      <c r="A11" s="29">
        <v>7</v>
      </c>
      <c r="B11" s="4" t="s">
        <v>48</v>
      </c>
      <c r="C11" s="23" t="s">
        <v>47</v>
      </c>
      <c r="D11" s="30">
        <v>15</v>
      </c>
      <c r="E11" s="30">
        <v>16.739999999999998</v>
      </c>
      <c r="F11" s="31">
        <f t="shared" si="0"/>
        <v>1.7399999999999984</v>
      </c>
    </row>
    <row r="12" spans="1:6" ht="15">
      <c r="A12" s="29">
        <v>8</v>
      </c>
      <c r="B12" s="4" t="s">
        <v>306</v>
      </c>
      <c r="C12" s="23" t="s">
        <v>47</v>
      </c>
      <c r="D12" s="30">
        <v>20</v>
      </c>
      <c r="E12" s="30">
        <v>54.98</v>
      </c>
      <c r="F12" s="31">
        <f t="shared" si="0"/>
        <v>34.979999999999997</v>
      </c>
    </row>
    <row r="13" spans="1:6" ht="15">
      <c r="A13" s="29">
        <v>9</v>
      </c>
      <c r="B13" s="4" t="s">
        <v>307</v>
      </c>
      <c r="C13" s="23" t="s">
        <v>53</v>
      </c>
      <c r="D13" s="30">
        <v>20</v>
      </c>
      <c r="E13" s="30">
        <v>29.7</v>
      </c>
      <c r="F13" s="31">
        <f t="shared" si="0"/>
        <v>9.6999999999999993</v>
      </c>
    </row>
    <row r="14" spans="1:6" ht="15">
      <c r="A14" s="29">
        <v>10</v>
      </c>
      <c r="B14" s="4" t="s">
        <v>308</v>
      </c>
      <c r="C14" s="23" t="s">
        <v>57</v>
      </c>
      <c r="D14" s="30">
        <v>0</v>
      </c>
      <c r="E14" s="30">
        <v>0</v>
      </c>
      <c r="F14" s="31">
        <f t="shared" si="0"/>
        <v>0</v>
      </c>
    </row>
    <row r="15" spans="1:6" ht="15">
      <c r="A15" s="29">
        <v>11</v>
      </c>
      <c r="B15" s="4" t="s">
        <v>309</v>
      </c>
      <c r="C15" s="23" t="s">
        <v>57</v>
      </c>
      <c r="D15" s="30">
        <v>5</v>
      </c>
      <c r="E15" s="30">
        <v>0</v>
      </c>
      <c r="F15" s="31">
        <f t="shared" si="0"/>
        <v>-5</v>
      </c>
    </row>
    <row r="16" spans="1:6" ht="15">
      <c r="A16" s="29">
        <v>12</v>
      </c>
      <c r="B16" s="4" t="s">
        <v>310</v>
      </c>
      <c r="C16" s="23" t="s">
        <v>57</v>
      </c>
      <c r="D16" s="30">
        <v>3</v>
      </c>
      <c r="E16" s="30">
        <v>0</v>
      </c>
      <c r="F16" s="31">
        <f t="shared" si="0"/>
        <v>-3</v>
      </c>
    </row>
    <row r="17" spans="1:6">
      <c r="A17" s="29">
        <v>13</v>
      </c>
      <c r="B17" s="4" t="s">
        <v>311</v>
      </c>
      <c r="C17" s="23" t="s">
        <v>312</v>
      </c>
      <c r="D17" s="30">
        <v>5</v>
      </c>
      <c r="E17" s="30"/>
      <c r="F17" s="31" t="str">
        <f t="shared" si="0"/>
        <v/>
      </c>
    </row>
    <row r="18" spans="1:6" ht="15" customHeight="1">
      <c r="A18" s="71" t="s">
        <v>313</v>
      </c>
      <c r="B18" s="71"/>
      <c r="C18" s="71"/>
      <c r="D18" s="32">
        <f>SUM(D5:D17)</f>
        <v>210</v>
      </c>
      <c r="E18" s="32">
        <f>SUM(E5:E17)</f>
        <v>217.15999999999997</v>
      </c>
      <c r="F18" s="32">
        <f>SUM(F5:F17)</f>
        <v>12.159999999999997</v>
      </c>
    </row>
    <row r="20" spans="1:6" ht="18" customHeight="1">
      <c r="A20" s="72" t="s">
        <v>314</v>
      </c>
      <c r="B20" s="72"/>
      <c r="C20" s="72"/>
      <c r="D20" s="72"/>
      <c r="E20" s="72"/>
      <c r="F20" s="72"/>
    </row>
    <row r="21" spans="1:6">
      <c r="B21" s="6" t="s">
        <v>315</v>
      </c>
      <c r="D21" s="73">
        <f>ROUND(D18*0.1,2)</f>
        <v>21</v>
      </c>
      <c r="E21" s="73"/>
      <c r="F21" s="73"/>
    </row>
    <row r="22" spans="1:6">
      <c r="B22" s="33" t="s">
        <v>316</v>
      </c>
      <c r="D22" s="70">
        <f>D18+D21</f>
        <v>231</v>
      </c>
      <c r="E22" s="70"/>
      <c r="F22" s="70"/>
    </row>
  </sheetData>
  <mergeCells count="6">
    <mergeCell ref="D22:F22"/>
    <mergeCell ref="A1:F1"/>
    <mergeCell ref="A2:F2"/>
    <mergeCell ref="A18:C18"/>
    <mergeCell ref="A20:F20"/>
    <mergeCell ref="D21:F2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showGridLines="0" zoomScaleNormal="100" workbookViewId="0">
      <selection activeCell="F5" sqref="F5"/>
    </sheetView>
  </sheetViews>
  <sheetFormatPr defaultColWidth="8.5703125" defaultRowHeight="14.45"/>
  <cols>
    <col min="1" max="1" width="6" customWidth="1"/>
    <col min="2" max="2" width="34" customWidth="1"/>
    <col min="3" max="3" width="40" customWidth="1"/>
    <col min="4" max="4" width="18" customWidth="1"/>
    <col min="5" max="5" width="28" customWidth="1"/>
    <col min="6" max="6" width="14" customWidth="1"/>
  </cols>
  <sheetData>
    <row r="1" spans="1:6" ht="27.75" customHeight="1">
      <c r="A1" s="63" t="s">
        <v>317</v>
      </c>
      <c r="B1" s="63"/>
      <c r="C1" s="63"/>
      <c r="D1" s="63"/>
      <c r="E1" s="63"/>
      <c r="F1" s="63"/>
    </row>
    <row r="2" spans="1:6" ht="6" customHeight="1">
      <c r="A2" s="76"/>
      <c r="B2" s="76"/>
      <c r="C2" s="76"/>
      <c r="D2" s="76"/>
      <c r="E2" s="76"/>
      <c r="F2" s="76"/>
    </row>
    <row r="4" spans="1:6" ht="30" customHeight="1">
      <c r="A4" s="34" t="s">
        <v>237</v>
      </c>
      <c r="B4" s="34" t="s">
        <v>318</v>
      </c>
      <c r="C4" s="34" t="s">
        <v>319</v>
      </c>
      <c r="D4" s="34" t="s">
        <v>320</v>
      </c>
      <c r="E4" s="34" t="s">
        <v>321</v>
      </c>
      <c r="F4" s="34" t="s">
        <v>240</v>
      </c>
    </row>
    <row r="5" spans="1:6" ht="22.5" customHeight="1">
      <c r="A5" s="35" t="s">
        <v>322</v>
      </c>
      <c r="B5" s="36" t="str">
        <f>Cronograma!B84</f>
        <v>Caderno de projeto</v>
      </c>
      <c r="C5" s="4" t="s">
        <v>323</v>
      </c>
      <c r="D5" s="23" t="s">
        <v>324</v>
      </c>
      <c r="E5" s="4" t="s">
        <v>325</v>
      </c>
      <c r="F5" s="23"/>
    </row>
    <row r="6" spans="1:6" ht="22.5" customHeight="1">
      <c r="A6" s="35" t="s">
        <v>326</v>
      </c>
      <c r="B6" s="36" t="str">
        <f>Cronograma!B27</f>
        <v>Desenho final do chassi (para corte MDF ou acrílico)</v>
      </c>
      <c r="C6" s="4" t="s">
        <v>327</v>
      </c>
      <c r="D6" s="23" t="s">
        <v>328</v>
      </c>
      <c r="E6" s="4" t="s">
        <v>329</v>
      </c>
      <c r="F6" s="23"/>
    </row>
    <row r="7" spans="1:6" ht="22.5" customHeight="1">
      <c r="A7" s="35" t="s">
        <v>330</v>
      </c>
      <c r="B7" s="36" t="str">
        <f>Cronograma!B53</f>
        <v>Verificação das conexões – robô montado</v>
      </c>
      <c r="C7" s="4" t="s">
        <v>331</v>
      </c>
      <c r="D7" s="23" t="s">
        <v>332</v>
      </c>
      <c r="E7" s="4" t="s">
        <v>333</v>
      </c>
      <c r="F7" s="23"/>
    </row>
    <row r="8" spans="1:6" ht="22.5" customHeight="1">
      <c r="A8" s="35" t="s">
        <v>334</v>
      </c>
      <c r="B8" s="36" t="str">
        <f>Cronograma!B66</f>
        <v>Calibração dos sensores e do servomotor</v>
      </c>
      <c r="C8" s="4" t="s">
        <v>335</v>
      </c>
      <c r="D8" s="23" t="s">
        <v>336</v>
      </c>
      <c r="E8" s="4" t="s">
        <v>337</v>
      </c>
      <c r="F8" s="23"/>
    </row>
    <row r="9" spans="1:6" ht="22.5" customHeight="1">
      <c r="A9" s="35" t="s">
        <v>338</v>
      </c>
      <c r="B9" s="36" t="str">
        <f>Cronograma!B75</f>
        <v>Teste de desvio de obstáculos</v>
      </c>
      <c r="C9" s="4" t="s">
        <v>339</v>
      </c>
      <c r="D9" s="23" t="s">
        <v>340</v>
      </c>
      <c r="E9" s="4" t="s">
        <v>341</v>
      </c>
      <c r="F9" s="23"/>
    </row>
    <row r="10" spans="1:6" ht="22.5" customHeight="1">
      <c r="A10" s="35" t="s">
        <v>342</v>
      </c>
      <c r="B10" s="36" t="str">
        <f>Cronograma!B77</f>
        <v>Otimização do percurso</v>
      </c>
      <c r="C10" s="4" t="s">
        <v>343</v>
      </c>
      <c r="D10" s="23" t="s">
        <v>344</v>
      </c>
      <c r="E10" s="4" t="s">
        <v>345</v>
      </c>
      <c r="F10" s="23"/>
    </row>
    <row r="11" spans="1:6" ht="22.5" customHeight="1">
      <c r="A11" s="35" t="s">
        <v>346</v>
      </c>
      <c r="B11" s="36" t="str">
        <f>Cronograma!B93</f>
        <v>Prévia da competição (ensaio geral)</v>
      </c>
      <c r="C11" s="4" t="s">
        <v>347</v>
      </c>
      <c r="D11" s="23" t="s">
        <v>348</v>
      </c>
      <c r="E11" s="4" t="s">
        <v>349</v>
      </c>
      <c r="F11" s="23"/>
    </row>
    <row r="12" spans="1:6" ht="22.5" customHeight="1">
      <c r="A12" s="35" t="s">
        <v>350</v>
      </c>
      <c r="B12" s="36" t="str">
        <f>Cronograma!B90</f>
        <v>Inspeção mecânica e elétrica (checklist)</v>
      </c>
      <c r="C12" s="4" t="s">
        <v>351</v>
      </c>
      <c r="D12" s="23" t="s">
        <v>352</v>
      </c>
      <c r="E12" s="4" t="s">
        <v>353</v>
      </c>
      <c r="F12" s="23"/>
    </row>
  </sheetData>
  <mergeCells count="2">
    <mergeCell ref="A1:F1"/>
    <mergeCell ref="A2:F2"/>
  </mergeCells>
  <conditionalFormatting sqref="F5:F12">
    <cfRule type="cellIs" dxfId="9" priority="2" operator="equal">
      <formula>"Conforme"</formula>
    </cfRule>
    <cfRule type="cellIs" dxfId="8" priority="3" operator="equal">
      <formula>"Não conforme"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2"/>
  <sheetViews>
    <sheetView showGridLines="0" zoomScaleNormal="100" workbookViewId="0">
      <selection activeCell="G21" sqref="G21"/>
    </sheetView>
  </sheetViews>
  <sheetFormatPr defaultColWidth="8.5703125" defaultRowHeight="14.45"/>
  <cols>
    <col min="1" max="1" width="26" customWidth="1"/>
    <col min="2" max="2" width="40" customWidth="1"/>
    <col min="3" max="3" width="22" customWidth="1"/>
    <col min="4" max="4" width="26" customWidth="1"/>
    <col min="5" max="5" width="16" customWidth="1"/>
  </cols>
  <sheetData>
    <row r="1" spans="1:5" ht="27.75" customHeight="1">
      <c r="A1" s="63" t="s">
        <v>354</v>
      </c>
      <c r="B1" s="63"/>
      <c r="C1" s="63"/>
      <c r="D1" s="63"/>
      <c r="E1" s="63"/>
    </row>
    <row r="2" spans="1:5" ht="6" customHeight="1">
      <c r="A2" s="76"/>
      <c r="B2" s="76"/>
      <c r="C2" s="76"/>
      <c r="D2" s="76"/>
      <c r="E2" s="76"/>
    </row>
    <row r="4" spans="1:5" ht="30" customHeight="1">
      <c r="A4" s="37" t="s">
        <v>355</v>
      </c>
      <c r="B4" s="37" t="s">
        <v>356</v>
      </c>
      <c r="C4" s="37" t="s">
        <v>357</v>
      </c>
      <c r="D4" s="37" t="s">
        <v>358</v>
      </c>
      <c r="E4" s="37" t="s">
        <v>72</v>
      </c>
    </row>
    <row r="5" spans="1:5">
      <c r="A5" s="38" t="s">
        <v>359</v>
      </c>
      <c r="B5" s="4" t="s">
        <v>360</v>
      </c>
      <c r="C5" s="23">
        <f>COUNTIF(Cronograma!C:C,"*Professor*")</f>
        <v>8</v>
      </c>
      <c r="D5" s="23" t="s">
        <v>361</v>
      </c>
      <c r="E5" s="23" t="s">
        <v>362</v>
      </c>
    </row>
    <row r="6" spans="1:5" ht="23.1">
      <c r="A6" s="38" t="s">
        <v>363</v>
      </c>
      <c r="B6" s="4" t="s">
        <v>364</v>
      </c>
      <c r="C6" s="23" t="s">
        <v>199</v>
      </c>
      <c r="D6" s="23" t="s">
        <v>361</v>
      </c>
      <c r="E6" s="23" t="s">
        <v>365</v>
      </c>
    </row>
    <row r="7" spans="1:5">
      <c r="A7" s="38" t="s">
        <v>366</v>
      </c>
      <c r="B7" s="4" t="s">
        <v>367</v>
      </c>
      <c r="C7" s="23" t="s">
        <v>199</v>
      </c>
      <c r="D7" s="23" t="s">
        <v>361</v>
      </c>
      <c r="E7" s="23" t="s">
        <v>365</v>
      </c>
    </row>
    <row r="8" spans="1:5">
      <c r="A8" s="38" t="s">
        <v>368</v>
      </c>
      <c r="B8" s="4" t="s">
        <v>369</v>
      </c>
      <c r="C8" s="23" t="s">
        <v>199</v>
      </c>
      <c r="D8" s="23" t="s">
        <v>361</v>
      </c>
      <c r="E8" s="23" t="s">
        <v>365</v>
      </c>
    </row>
    <row r="9" spans="1:5">
      <c r="A9" s="38" t="s">
        <v>370</v>
      </c>
      <c r="B9" s="4" t="s">
        <v>371</v>
      </c>
      <c r="C9" s="23" t="s">
        <v>199</v>
      </c>
      <c r="D9" s="23" t="s">
        <v>361</v>
      </c>
      <c r="E9" s="23" t="s">
        <v>365</v>
      </c>
    </row>
    <row r="10" spans="1:5">
      <c r="A10" s="38" t="s">
        <v>372</v>
      </c>
      <c r="B10" s="4" t="s">
        <v>373</v>
      </c>
      <c r="C10" s="23">
        <f>COUNTIF(Cronograma!C:C,"*Equipe*")</f>
        <v>19</v>
      </c>
      <c r="D10" s="23" t="s">
        <v>361</v>
      </c>
      <c r="E10" s="23" t="s">
        <v>365</v>
      </c>
    </row>
    <row r="12" spans="1:5" ht="18" customHeight="1">
      <c r="A12" s="74" t="s">
        <v>374</v>
      </c>
      <c r="B12" s="74"/>
      <c r="C12" s="74"/>
      <c r="D12" s="74"/>
      <c r="E12" s="74"/>
    </row>
    <row r="13" spans="1:5" ht="30" customHeight="1">
      <c r="A13" s="37" t="s">
        <v>375</v>
      </c>
      <c r="B13" s="37" t="s">
        <v>376</v>
      </c>
      <c r="C13" s="37" t="s">
        <v>377</v>
      </c>
      <c r="D13" s="37" t="s">
        <v>378</v>
      </c>
      <c r="E13" s="37" t="s">
        <v>240</v>
      </c>
    </row>
    <row r="14" spans="1:5" ht="20.25">
      <c r="A14" s="6" t="s">
        <v>379</v>
      </c>
      <c r="B14" s="36" t="str">
        <f>Cronograma!B51</f>
        <v>Montagem eletrônica (Arduino, ponte H, sensores, servo, bateria)</v>
      </c>
      <c r="C14" s="23" t="s">
        <v>26</v>
      </c>
      <c r="D14" s="23" t="s">
        <v>380</v>
      </c>
      <c r="E14" s="49">
        <v>1</v>
      </c>
    </row>
    <row r="15" spans="1:5" ht="15">
      <c r="A15" s="6" t="s">
        <v>381</v>
      </c>
      <c r="B15" s="36" t="str">
        <f>Cronograma!B60</f>
        <v>Programação do sensor ultrassônico</v>
      </c>
      <c r="C15" s="23" t="s">
        <v>26</v>
      </c>
      <c r="D15" s="23" t="s">
        <v>380</v>
      </c>
      <c r="E15" s="49">
        <v>1</v>
      </c>
    </row>
    <row r="16" spans="1:5" ht="15">
      <c r="A16" s="6" t="s">
        <v>382</v>
      </c>
      <c r="B16" s="36" t="str">
        <f>Cronograma!B64</f>
        <v>Programação do servomotor (varredura do sensor)</v>
      </c>
      <c r="C16" s="23" t="s">
        <v>26</v>
      </c>
      <c r="D16" s="23" t="s">
        <v>380</v>
      </c>
      <c r="E16" s="49" t="s">
        <v>383</v>
      </c>
    </row>
    <row r="17" spans="1:5" ht="15">
      <c r="A17" s="6" t="s">
        <v>384</v>
      </c>
      <c r="B17" s="36" t="str">
        <f>Cronograma!B62</f>
        <v>Programação do sensor de obstáculo (infravermelho)</v>
      </c>
      <c r="C17" s="23" t="s">
        <v>42</v>
      </c>
      <c r="D17" s="23" t="s">
        <v>380</v>
      </c>
      <c r="E17" s="49">
        <v>1</v>
      </c>
    </row>
    <row r="18" spans="1:5" ht="20.25">
      <c r="A18" s="6" t="s">
        <v>385</v>
      </c>
      <c r="B18" s="36" t="str">
        <f>Cronograma!B51</f>
        <v>Montagem eletrônica (Arduino, ponte H, sensores, servo, bateria)</v>
      </c>
      <c r="C18" s="23" t="s">
        <v>26</v>
      </c>
      <c r="D18" s="23" t="s">
        <v>380</v>
      </c>
      <c r="E18" s="49">
        <v>1</v>
      </c>
    </row>
    <row r="19" spans="1:5" ht="15">
      <c r="A19" s="6" t="s">
        <v>386</v>
      </c>
      <c r="B19" s="36" t="str">
        <f>Cronograma!B47</f>
        <v>Montagem mecânica (motores, rodas)</v>
      </c>
      <c r="C19" s="23" t="s">
        <v>42</v>
      </c>
      <c r="D19" s="23" t="s">
        <v>380</v>
      </c>
      <c r="E19" s="49">
        <v>1</v>
      </c>
    </row>
    <row r="20" spans="1:5" ht="20.25">
      <c r="A20" s="6" t="s">
        <v>387</v>
      </c>
      <c r="B20" s="36" t="str">
        <f>Cronograma!B51</f>
        <v>Montagem eletrônica (Arduino, ponte H, sensores, servo, bateria)</v>
      </c>
      <c r="C20" s="23" t="s">
        <v>42</v>
      </c>
      <c r="D20" s="23" t="s">
        <v>380</v>
      </c>
      <c r="E20" s="49">
        <v>1</v>
      </c>
    </row>
    <row r="21" spans="1:5" ht="15">
      <c r="A21" s="6" t="s">
        <v>388</v>
      </c>
      <c r="B21" s="36" t="str">
        <f>Cronograma!B43</f>
        <v>Corte do chassi em MDF/acrílico</v>
      </c>
      <c r="C21" s="23" t="s">
        <v>26</v>
      </c>
      <c r="D21" s="23" t="s">
        <v>389</v>
      </c>
      <c r="E21" s="49"/>
    </row>
    <row r="22" spans="1:5" ht="15">
      <c r="A22" s="6" t="s">
        <v>390</v>
      </c>
      <c r="B22" s="36" t="str">
        <f>Cronograma!B47</f>
        <v>Montagem mecânica (motores, rodas)</v>
      </c>
      <c r="C22" s="23" t="s">
        <v>199</v>
      </c>
      <c r="D22" s="23" t="s">
        <v>391</v>
      </c>
      <c r="E22" s="49"/>
    </row>
  </sheetData>
  <mergeCells count="3">
    <mergeCell ref="A1:E1"/>
    <mergeCell ref="A2:E2"/>
    <mergeCell ref="A12:E1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1"/>
  <sheetViews>
    <sheetView showGridLines="0" zoomScaleNormal="100" workbookViewId="0">
      <selection sqref="A1:F1"/>
    </sheetView>
  </sheetViews>
  <sheetFormatPr defaultColWidth="8.5703125" defaultRowHeight="14.45"/>
  <cols>
    <col min="1" max="1" width="34" customWidth="1"/>
    <col min="2" max="2" width="26" customWidth="1"/>
    <col min="3" max="3" width="22" customWidth="1"/>
    <col min="4" max="4" width="18" customWidth="1"/>
    <col min="5" max="5" width="22" customWidth="1"/>
    <col min="6" max="6" width="18" customWidth="1"/>
  </cols>
  <sheetData>
    <row r="1" spans="1:6" ht="27.75" customHeight="1">
      <c r="A1" s="63" t="s">
        <v>392</v>
      </c>
      <c r="B1" s="63"/>
      <c r="C1" s="63"/>
      <c r="D1" s="63"/>
      <c r="E1" s="63"/>
      <c r="F1" s="63"/>
    </row>
    <row r="2" spans="1:6" ht="6" customHeight="1">
      <c r="A2" s="76"/>
      <c r="B2" s="76"/>
      <c r="C2" s="76"/>
      <c r="D2" s="76"/>
      <c r="E2" s="76"/>
      <c r="F2" s="76"/>
    </row>
    <row r="4" spans="1:6" ht="30" customHeight="1">
      <c r="A4" s="39" t="s">
        <v>393</v>
      </c>
      <c r="B4" s="39" t="s">
        <v>394</v>
      </c>
      <c r="C4" s="39" t="s">
        <v>71</v>
      </c>
      <c r="D4" s="39" t="s">
        <v>395</v>
      </c>
      <c r="E4" s="39" t="s">
        <v>396</v>
      </c>
      <c r="F4" s="39" t="s">
        <v>397</v>
      </c>
    </row>
    <row r="5" spans="1:6" ht="23.1">
      <c r="A5" s="6" t="s">
        <v>398</v>
      </c>
      <c r="B5" s="4" t="s">
        <v>399</v>
      </c>
      <c r="C5" s="23" t="s">
        <v>400</v>
      </c>
      <c r="D5" s="23" t="s">
        <v>401</v>
      </c>
      <c r="E5" s="23" t="s">
        <v>402</v>
      </c>
      <c r="F5" s="23" t="s">
        <v>403</v>
      </c>
    </row>
    <row r="6" spans="1:6">
      <c r="A6" s="6" t="s">
        <v>404</v>
      </c>
      <c r="B6" s="4" t="s">
        <v>405</v>
      </c>
      <c r="C6" s="23" t="s">
        <v>406</v>
      </c>
      <c r="D6" s="23" t="s">
        <v>407</v>
      </c>
      <c r="E6" s="23" t="s">
        <v>408</v>
      </c>
      <c r="F6" s="23" t="s">
        <v>409</v>
      </c>
    </row>
    <row r="7" spans="1:6">
      <c r="A7" s="6" t="s">
        <v>410</v>
      </c>
      <c r="B7" s="4" t="s">
        <v>411</v>
      </c>
      <c r="C7" s="23" t="s">
        <v>400</v>
      </c>
      <c r="D7" s="23" t="s">
        <v>412</v>
      </c>
      <c r="E7" s="23" t="s">
        <v>402</v>
      </c>
      <c r="F7" s="23" t="s">
        <v>413</v>
      </c>
    </row>
    <row r="8" spans="1:6">
      <c r="A8" s="6" t="s">
        <v>414</v>
      </c>
      <c r="B8" s="4" t="s">
        <v>415</v>
      </c>
      <c r="C8" s="23" t="s">
        <v>372</v>
      </c>
      <c r="D8" s="23" t="s">
        <v>416</v>
      </c>
      <c r="E8" s="23" t="s">
        <v>417</v>
      </c>
      <c r="F8" s="23" t="s">
        <v>418</v>
      </c>
    </row>
    <row r="9" spans="1:6" ht="23.1">
      <c r="A9" s="6" t="s">
        <v>419</v>
      </c>
      <c r="B9" s="4" t="s">
        <v>7</v>
      </c>
      <c r="C9" s="23" t="s">
        <v>370</v>
      </c>
      <c r="D9" s="23" t="s">
        <v>420</v>
      </c>
      <c r="E9" s="23" t="s">
        <v>421</v>
      </c>
      <c r="F9" s="23" t="s">
        <v>422</v>
      </c>
    </row>
    <row r="10" spans="1:6">
      <c r="A10" s="6" t="s">
        <v>423</v>
      </c>
      <c r="B10" s="4" t="s">
        <v>424</v>
      </c>
      <c r="C10" s="23" t="s">
        <v>86</v>
      </c>
      <c r="D10" s="23" t="s">
        <v>425</v>
      </c>
      <c r="E10" s="23" t="s">
        <v>426</v>
      </c>
      <c r="F10" s="23" t="s">
        <v>427</v>
      </c>
    </row>
    <row r="11" spans="1:6">
      <c r="A11" s="6" t="s">
        <v>428</v>
      </c>
      <c r="B11" s="4" t="s">
        <v>399</v>
      </c>
      <c r="C11" s="23" t="s">
        <v>400</v>
      </c>
      <c r="D11" s="23" t="s">
        <v>429</v>
      </c>
      <c r="E11" s="23" t="s">
        <v>430</v>
      </c>
      <c r="F11" s="23" t="s">
        <v>431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18"/>
  <sheetViews>
    <sheetView showGridLines="0" zoomScaleNormal="100" workbookViewId="0">
      <selection sqref="A1:I1"/>
    </sheetView>
  </sheetViews>
  <sheetFormatPr defaultColWidth="8.5703125" defaultRowHeight="14.45"/>
  <cols>
    <col min="1" max="1" width="6" customWidth="1"/>
    <col min="2" max="2" width="40" customWidth="1"/>
    <col min="3" max="3" width="16" customWidth="1"/>
    <col min="4" max="4" width="9" customWidth="1"/>
    <col min="5" max="5" width="13" customWidth="1"/>
    <col min="6" max="6" width="11" customWidth="1"/>
    <col min="7" max="7" width="14" customWidth="1"/>
    <col min="8" max="8" width="46" customWidth="1"/>
    <col min="9" max="9" width="18" customWidth="1"/>
  </cols>
  <sheetData>
    <row r="1" spans="1:9" ht="27.75" customHeight="1">
      <c r="A1" s="63" t="s">
        <v>432</v>
      </c>
      <c r="B1" s="63"/>
      <c r="C1" s="63"/>
      <c r="D1" s="63"/>
      <c r="E1" s="63"/>
      <c r="F1" s="63"/>
      <c r="G1" s="63"/>
      <c r="H1" s="63"/>
      <c r="I1" s="63"/>
    </row>
    <row r="2" spans="1:9" ht="6" customHeight="1">
      <c r="A2" s="76"/>
      <c r="B2" s="76"/>
      <c r="C2" s="76"/>
      <c r="D2" s="76"/>
      <c r="E2" s="76"/>
      <c r="F2" s="76"/>
      <c r="G2" s="76"/>
      <c r="H2" s="76"/>
      <c r="I2" s="76"/>
    </row>
    <row r="4" spans="1:9" ht="30" customHeight="1">
      <c r="A4" s="40" t="s">
        <v>237</v>
      </c>
      <c r="B4" s="40" t="s">
        <v>433</v>
      </c>
      <c r="C4" s="40" t="s">
        <v>291</v>
      </c>
      <c r="D4" s="40" t="s">
        <v>434</v>
      </c>
      <c r="E4" s="40" t="s">
        <v>435</v>
      </c>
      <c r="F4" s="40" t="s">
        <v>436</v>
      </c>
      <c r="G4" s="40" t="s">
        <v>437</v>
      </c>
      <c r="H4" s="40" t="s">
        <v>438</v>
      </c>
      <c r="I4" s="40" t="s">
        <v>71</v>
      </c>
    </row>
    <row r="5" spans="1:9" ht="23.1">
      <c r="A5" s="41" t="s">
        <v>439</v>
      </c>
      <c r="B5" s="6" t="s">
        <v>440</v>
      </c>
      <c r="C5" s="23" t="s">
        <v>441</v>
      </c>
      <c r="D5" s="42">
        <v>3</v>
      </c>
      <c r="E5" s="42">
        <v>4</v>
      </c>
      <c r="F5" s="43">
        <f t="shared" ref="F5:F14" si="0">D5*E5</f>
        <v>12</v>
      </c>
      <c r="G5" s="23" t="s">
        <v>442</v>
      </c>
      <c r="H5" s="4" t="s">
        <v>443</v>
      </c>
      <c r="I5" s="23" t="s">
        <v>411</v>
      </c>
    </row>
    <row r="6" spans="1:9" ht="23.1">
      <c r="A6" s="41" t="s">
        <v>444</v>
      </c>
      <c r="B6" s="6" t="s">
        <v>445</v>
      </c>
      <c r="C6" s="23" t="s">
        <v>446</v>
      </c>
      <c r="D6" s="42">
        <v>3</v>
      </c>
      <c r="E6" s="42">
        <v>4</v>
      </c>
      <c r="F6" s="43">
        <f t="shared" si="0"/>
        <v>12</v>
      </c>
      <c r="G6" s="23" t="s">
        <v>442</v>
      </c>
      <c r="H6" s="4" t="s">
        <v>447</v>
      </c>
      <c r="I6" s="23" t="s">
        <v>363</v>
      </c>
    </row>
    <row r="7" spans="1:9" ht="23.1">
      <c r="A7" s="41" t="s">
        <v>448</v>
      </c>
      <c r="B7" s="6" t="s">
        <v>449</v>
      </c>
      <c r="C7" s="23" t="s">
        <v>450</v>
      </c>
      <c r="D7" s="42">
        <v>4</v>
      </c>
      <c r="E7" s="42">
        <v>4</v>
      </c>
      <c r="F7" s="43">
        <f t="shared" si="0"/>
        <v>16</v>
      </c>
      <c r="G7" s="23" t="s">
        <v>442</v>
      </c>
      <c r="H7" s="4" t="s">
        <v>451</v>
      </c>
      <c r="I7" s="23" t="s">
        <v>368</v>
      </c>
    </row>
    <row r="8" spans="1:9" ht="23.1">
      <c r="A8" s="41" t="s">
        <v>452</v>
      </c>
      <c r="B8" s="6" t="s">
        <v>453</v>
      </c>
      <c r="C8" s="23" t="s">
        <v>450</v>
      </c>
      <c r="D8" s="42">
        <v>2</v>
      </c>
      <c r="E8" s="42">
        <v>3</v>
      </c>
      <c r="F8" s="43">
        <f t="shared" si="0"/>
        <v>6</v>
      </c>
      <c r="G8" s="23" t="s">
        <v>442</v>
      </c>
      <c r="H8" s="4" t="s">
        <v>454</v>
      </c>
      <c r="I8" s="23" t="s">
        <v>366</v>
      </c>
    </row>
    <row r="9" spans="1:9" ht="23.1">
      <c r="A9" s="41" t="s">
        <v>455</v>
      </c>
      <c r="B9" s="6" t="s">
        <v>456</v>
      </c>
      <c r="C9" s="23" t="s">
        <v>457</v>
      </c>
      <c r="D9" s="42">
        <v>3</v>
      </c>
      <c r="E9" s="42">
        <v>4</v>
      </c>
      <c r="F9" s="43">
        <f t="shared" si="0"/>
        <v>12</v>
      </c>
      <c r="G9" s="23" t="s">
        <v>442</v>
      </c>
      <c r="H9" s="4" t="s">
        <v>458</v>
      </c>
      <c r="I9" s="23" t="s">
        <v>366</v>
      </c>
    </row>
    <row r="10" spans="1:9" ht="23.1">
      <c r="A10" s="41" t="s">
        <v>459</v>
      </c>
      <c r="B10" s="6" t="s">
        <v>460</v>
      </c>
      <c r="C10" s="23" t="s">
        <v>450</v>
      </c>
      <c r="D10" s="42">
        <v>4</v>
      </c>
      <c r="E10" s="42">
        <v>2</v>
      </c>
      <c r="F10" s="43">
        <f t="shared" si="0"/>
        <v>8</v>
      </c>
      <c r="G10" s="23" t="s">
        <v>442</v>
      </c>
      <c r="H10" s="4" t="s">
        <v>461</v>
      </c>
      <c r="I10" s="23" t="s">
        <v>366</v>
      </c>
    </row>
    <row r="11" spans="1:9" ht="23.1">
      <c r="A11" s="41" t="s">
        <v>462</v>
      </c>
      <c r="B11" s="6" t="s">
        <v>463</v>
      </c>
      <c r="C11" s="23" t="s">
        <v>450</v>
      </c>
      <c r="D11" s="42">
        <v>3</v>
      </c>
      <c r="E11" s="42">
        <v>4</v>
      </c>
      <c r="F11" s="43">
        <f t="shared" si="0"/>
        <v>12</v>
      </c>
      <c r="G11" s="23" t="s">
        <v>442</v>
      </c>
      <c r="H11" s="4" t="s">
        <v>464</v>
      </c>
      <c r="I11" s="23" t="s">
        <v>368</v>
      </c>
    </row>
    <row r="12" spans="1:9">
      <c r="A12" s="41" t="s">
        <v>465</v>
      </c>
      <c r="B12" s="6" t="s">
        <v>466</v>
      </c>
      <c r="C12" s="23" t="s">
        <v>457</v>
      </c>
      <c r="D12" s="42">
        <v>3</v>
      </c>
      <c r="E12" s="42">
        <v>3</v>
      </c>
      <c r="F12" s="43">
        <f t="shared" si="0"/>
        <v>9</v>
      </c>
      <c r="G12" s="23" t="s">
        <v>442</v>
      </c>
      <c r="H12" s="4" t="s">
        <v>467</v>
      </c>
      <c r="I12" s="23" t="s">
        <v>366</v>
      </c>
    </row>
    <row r="13" spans="1:9" ht="23.1">
      <c r="A13" s="41" t="s">
        <v>468</v>
      </c>
      <c r="B13" s="6" t="s">
        <v>469</v>
      </c>
      <c r="C13" s="23" t="s">
        <v>457</v>
      </c>
      <c r="D13" s="42">
        <v>3</v>
      </c>
      <c r="E13" s="42">
        <v>3</v>
      </c>
      <c r="F13" s="43">
        <f t="shared" si="0"/>
        <v>9</v>
      </c>
      <c r="G13" s="23" t="s">
        <v>442</v>
      </c>
      <c r="H13" s="4" t="s">
        <v>470</v>
      </c>
      <c r="I13" s="23" t="s">
        <v>363</v>
      </c>
    </row>
    <row r="14" spans="1:9" ht="23.1">
      <c r="A14" s="41" t="s">
        <v>471</v>
      </c>
      <c r="B14" s="6" t="s">
        <v>472</v>
      </c>
      <c r="C14" s="23" t="s">
        <v>473</v>
      </c>
      <c r="D14" s="42">
        <v>3</v>
      </c>
      <c r="E14" s="42">
        <v>3</v>
      </c>
      <c r="F14" s="43">
        <f t="shared" si="0"/>
        <v>9</v>
      </c>
      <c r="G14" s="23" t="s">
        <v>442</v>
      </c>
      <c r="H14" s="4" t="s">
        <v>474</v>
      </c>
      <c r="I14" s="23" t="s">
        <v>400</v>
      </c>
    </row>
    <row r="16" spans="1:9">
      <c r="A16" s="75" t="s">
        <v>475</v>
      </c>
      <c r="B16" s="75"/>
      <c r="C16" s="75"/>
      <c r="D16" s="75"/>
      <c r="E16" s="75"/>
      <c r="F16" s="75"/>
      <c r="G16" s="75"/>
      <c r="H16" s="75"/>
      <c r="I16" s="75"/>
    </row>
    <row r="17" spans="2:8">
      <c r="B17" s="1" t="s">
        <v>476</v>
      </c>
      <c r="D17" s="2">
        <f>COUNTIF(F5:F14,"&gt;=15")</f>
        <v>1</v>
      </c>
      <c r="F17" s="1" t="s">
        <v>477</v>
      </c>
      <c r="H17" s="2">
        <f>COUNTIFS(F5:F14,"&gt;=8",F5:F14,"&lt;=14")</f>
        <v>8</v>
      </c>
    </row>
    <row r="18" spans="2:8">
      <c r="B18" s="1" t="s">
        <v>478</v>
      </c>
      <c r="D18" s="2">
        <f>COUNTIF(F5:F14,"&lt;=7")</f>
        <v>1</v>
      </c>
      <c r="F18" s="1" t="s">
        <v>479</v>
      </c>
      <c r="H18" s="2">
        <f>SUM(F5:F14)</f>
        <v>105</v>
      </c>
    </row>
  </sheetData>
  <mergeCells count="3">
    <mergeCell ref="A1:I1"/>
    <mergeCell ref="A2:I2"/>
    <mergeCell ref="A16:I16"/>
  </mergeCells>
  <conditionalFormatting sqref="F5:F14">
    <cfRule type="cellIs" dxfId="7" priority="2" operator="greaterThanOrEqual">
      <formula>15</formula>
    </cfRule>
    <cfRule type="cellIs" dxfId="6" priority="3" operator="between">
      <formula>8</formula>
      <formula>14</formula>
    </cfRule>
    <cfRule type="cellIs" dxfId="5" priority="4" operator="lessThanOrEqual">
      <formula>7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13"/>
  <sheetViews>
    <sheetView showGridLines="0" zoomScaleNormal="100" workbookViewId="0">
      <selection activeCell="G12" sqref="G12"/>
    </sheetView>
  </sheetViews>
  <sheetFormatPr defaultColWidth="8.5703125" defaultRowHeight="14.45"/>
  <cols>
    <col min="1" max="1" width="6" customWidth="1"/>
    <col min="2" max="2" width="34" customWidth="1"/>
    <col min="3" max="3" width="30" customWidth="1"/>
    <col min="4" max="4" width="20" customWidth="1"/>
    <col min="5" max="5" width="16" customWidth="1"/>
    <col min="6" max="6" width="22" customWidth="1"/>
    <col min="7" max="7" width="14" customWidth="1"/>
  </cols>
  <sheetData>
    <row r="1" spans="1:7" ht="27.75" customHeight="1">
      <c r="A1" s="63" t="s">
        <v>480</v>
      </c>
      <c r="B1" s="63"/>
      <c r="C1" s="63"/>
      <c r="D1" s="63"/>
      <c r="E1" s="63"/>
      <c r="F1" s="63"/>
      <c r="G1" s="63"/>
    </row>
    <row r="2" spans="1:7" ht="6" customHeight="1">
      <c r="A2" s="76"/>
      <c r="B2" s="76"/>
      <c r="C2" s="76"/>
      <c r="D2" s="76"/>
      <c r="E2" s="76"/>
      <c r="F2" s="76"/>
      <c r="G2" s="76"/>
    </row>
    <row r="4" spans="1:7" ht="30" customHeight="1">
      <c r="A4" s="44" t="s">
        <v>69</v>
      </c>
      <c r="B4" s="44" t="s">
        <v>481</v>
      </c>
      <c r="C4" s="44" t="s">
        <v>482</v>
      </c>
      <c r="D4" s="44" t="s">
        <v>483</v>
      </c>
      <c r="E4" s="44" t="s">
        <v>484</v>
      </c>
      <c r="F4" s="44" t="s">
        <v>485</v>
      </c>
      <c r="G4" s="44" t="s">
        <v>240</v>
      </c>
    </row>
    <row r="5" spans="1:7" ht="20.25">
      <c r="A5" s="45" t="s">
        <v>486</v>
      </c>
      <c r="B5" s="6" t="s">
        <v>25</v>
      </c>
      <c r="C5" s="36" t="str">
        <f>Cronograma!B38</f>
        <v>Compra dos componentes (inclui servomotor)</v>
      </c>
      <c r="D5" s="23" t="s">
        <v>380</v>
      </c>
      <c r="E5" s="46">
        <f>'3. Custos'!D5</f>
        <v>50</v>
      </c>
      <c r="F5" s="23" t="s">
        <v>487</v>
      </c>
      <c r="G5" s="49">
        <v>1</v>
      </c>
    </row>
    <row r="6" spans="1:7" ht="20.25">
      <c r="A6" s="45" t="s">
        <v>488</v>
      </c>
      <c r="B6" s="6" t="s">
        <v>381</v>
      </c>
      <c r="C6" s="36" t="str">
        <f>Cronograma!B38</f>
        <v>Compra dos componentes (inclui servomotor)</v>
      </c>
      <c r="D6" s="23" t="s">
        <v>380</v>
      </c>
      <c r="E6" s="46">
        <f>'3. Custos'!D6</f>
        <v>12</v>
      </c>
      <c r="F6" s="23" t="s">
        <v>487</v>
      </c>
      <c r="G6" s="49">
        <v>1</v>
      </c>
    </row>
    <row r="7" spans="1:7" ht="22.5">
      <c r="A7" s="45" t="s">
        <v>489</v>
      </c>
      <c r="B7" s="6" t="s">
        <v>382</v>
      </c>
      <c r="C7" s="36" t="str">
        <f>Cronograma!B38</f>
        <v>Compra dos componentes (inclui servomotor)</v>
      </c>
      <c r="D7" s="23" t="s">
        <v>380</v>
      </c>
      <c r="E7" s="46">
        <f>'3. Custos'!D7</f>
        <v>18</v>
      </c>
      <c r="F7" s="23" t="s">
        <v>487</v>
      </c>
      <c r="G7" s="23" t="s">
        <v>383</v>
      </c>
    </row>
    <row r="8" spans="1:7" ht="20.25">
      <c r="A8" s="45" t="s">
        <v>490</v>
      </c>
      <c r="B8" s="6" t="s">
        <v>384</v>
      </c>
      <c r="C8" s="36" t="str">
        <f>Cronograma!B38</f>
        <v>Compra dos componentes (inclui servomotor)</v>
      </c>
      <c r="D8" s="23" t="s">
        <v>380</v>
      </c>
      <c r="E8" s="46">
        <f>'3. Custos'!D8</f>
        <v>14</v>
      </c>
      <c r="F8" s="23" t="s">
        <v>487</v>
      </c>
      <c r="G8" s="49">
        <v>1</v>
      </c>
    </row>
    <row r="9" spans="1:7" ht="20.25">
      <c r="A9" s="45" t="s">
        <v>491</v>
      </c>
      <c r="B9" s="6" t="s">
        <v>385</v>
      </c>
      <c r="C9" s="36" t="str">
        <f>Cronograma!B38</f>
        <v>Compra dos componentes (inclui servomotor)</v>
      </c>
      <c r="D9" s="23" t="s">
        <v>380</v>
      </c>
      <c r="E9" s="46">
        <f>'3. Custos'!D9</f>
        <v>18</v>
      </c>
      <c r="F9" s="23" t="s">
        <v>487</v>
      </c>
      <c r="G9" s="49">
        <v>1</v>
      </c>
    </row>
    <row r="10" spans="1:7" ht="20.25">
      <c r="A10" s="45" t="s">
        <v>492</v>
      </c>
      <c r="B10" s="6" t="s">
        <v>386</v>
      </c>
      <c r="C10" s="36" t="str">
        <f>Cronograma!B38</f>
        <v>Compra dos componentes (inclui servomotor)</v>
      </c>
      <c r="D10" s="23" t="s">
        <v>380</v>
      </c>
      <c r="E10" s="46">
        <f>'3. Custos'!D10</f>
        <v>30</v>
      </c>
      <c r="F10" s="23" t="s">
        <v>487</v>
      </c>
      <c r="G10" s="49">
        <v>1</v>
      </c>
    </row>
    <row r="11" spans="1:7" ht="20.25">
      <c r="A11" s="45" t="s">
        <v>493</v>
      </c>
      <c r="B11" s="6" t="s">
        <v>387</v>
      </c>
      <c r="C11" s="36" t="str">
        <f>Cronograma!B38</f>
        <v>Compra dos componentes (inclui servomotor)</v>
      </c>
      <c r="D11" s="23" t="s">
        <v>380</v>
      </c>
      <c r="E11" s="46">
        <f>'3. Custos'!D12</f>
        <v>20</v>
      </c>
      <c r="F11" s="23" t="s">
        <v>487</v>
      </c>
      <c r="G11" s="49">
        <v>1</v>
      </c>
    </row>
    <row r="12" spans="1:7" ht="15">
      <c r="A12" s="45" t="s">
        <v>494</v>
      </c>
      <c r="B12" s="6" t="s">
        <v>495</v>
      </c>
      <c r="C12" s="36" t="str">
        <f>Cronograma!B36</f>
        <v>Cotação de componentes</v>
      </c>
      <c r="D12" s="23" t="s">
        <v>496</v>
      </c>
      <c r="E12" s="46">
        <f>'3. Custos'!D14</f>
        <v>0</v>
      </c>
      <c r="F12" s="23" t="s">
        <v>487</v>
      </c>
      <c r="G12" s="23"/>
    </row>
    <row r="13" spans="1:7" ht="15">
      <c r="A13" s="45" t="s">
        <v>497</v>
      </c>
      <c r="B13" s="6" t="s">
        <v>498</v>
      </c>
      <c r="C13" s="36" t="str">
        <f>Cronograma!B86</f>
        <v>Banner do projeto</v>
      </c>
      <c r="D13" s="23" t="s">
        <v>499</v>
      </c>
      <c r="E13" s="46">
        <f>'3. Custos'!D17</f>
        <v>5</v>
      </c>
      <c r="F13" s="23" t="s">
        <v>487</v>
      </c>
      <c r="G13" s="23"/>
    </row>
  </sheetData>
  <mergeCells count="2">
    <mergeCell ref="A1:G1"/>
    <mergeCell ref="A2:G2"/>
  </mergeCells>
  <conditionalFormatting sqref="G5:G13">
    <cfRule type="cellIs" dxfId="4" priority="2" operator="equal">
      <formula>"Recebido"</formula>
    </cfRule>
    <cfRule type="cellIs" dxfId="3" priority="3" operator="equal">
      <formula>"Contratado"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11"/>
  <sheetViews>
    <sheetView showGridLines="0" zoomScaleNormal="100" workbookViewId="0">
      <selection sqref="A1:G1"/>
    </sheetView>
  </sheetViews>
  <sheetFormatPr defaultColWidth="8.5703125" defaultRowHeight="14.45"/>
  <cols>
    <col min="1" max="1" width="6" customWidth="1"/>
    <col min="2" max="2" width="28" customWidth="1"/>
    <col min="3" max="3" width="34" customWidth="1"/>
    <col min="4" max="4" width="10" customWidth="1"/>
    <col min="5" max="5" width="12" customWidth="1"/>
    <col min="6" max="6" width="18" customWidth="1"/>
    <col min="7" max="7" width="40" customWidth="1"/>
  </cols>
  <sheetData>
    <row r="1" spans="1:7" ht="27.75" customHeight="1">
      <c r="A1" s="63" t="s">
        <v>500</v>
      </c>
      <c r="B1" s="63"/>
      <c r="C1" s="63"/>
      <c r="D1" s="63"/>
      <c r="E1" s="63"/>
      <c r="F1" s="63"/>
      <c r="G1" s="63"/>
    </row>
    <row r="2" spans="1:7" ht="6" customHeight="1">
      <c r="A2" s="76"/>
      <c r="B2" s="76"/>
      <c r="C2" s="76"/>
      <c r="D2" s="76"/>
      <c r="E2" s="76"/>
      <c r="F2" s="76"/>
      <c r="G2" s="76"/>
    </row>
    <row r="4" spans="1:7" ht="30" customHeight="1">
      <c r="A4" s="47" t="s">
        <v>237</v>
      </c>
      <c r="B4" s="47" t="s">
        <v>501</v>
      </c>
      <c r="C4" s="47" t="s">
        <v>502</v>
      </c>
      <c r="D4" s="47" t="s">
        <v>503</v>
      </c>
      <c r="E4" s="47" t="s">
        <v>504</v>
      </c>
      <c r="F4" s="47" t="s">
        <v>505</v>
      </c>
      <c r="G4" s="47" t="s">
        <v>506</v>
      </c>
    </row>
    <row r="5" spans="1:7" ht="23.1">
      <c r="A5" s="48" t="s">
        <v>507</v>
      </c>
      <c r="B5" s="6" t="s">
        <v>359</v>
      </c>
      <c r="C5" s="4" t="s">
        <v>508</v>
      </c>
      <c r="D5" s="42">
        <v>5</v>
      </c>
      <c r="E5" s="42">
        <v>5</v>
      </c>
      <c r="F5" s="23" t="s">
        <v>509</v>
      </c>
      <c r="G5" s="4" t="s">
        <v>510</v>
      </c>
    </row>
    <row r="6" spans="1:7">
      <c r="A6" s="48" t="s">
        <v>511</v>
      </c>
      <c r="B6" s="6" t="s">
        <v>512</v>
      </c>
      <c r="C6" s="4" t="s">
        <v>513</v>
      </c>
      <c r="D6" s="42">
        <v>4</v>
      </c>
      <c r="E6" s="42">
        <v>3</v>
      </c>
      <c r="F6" s="23" t="s">
        <v>514</v>
      </c>
      <c r="G6" s="4" t="s">
        <v>515</v>
      </c>
    </row>
    <row r="7" spans="1:7" ht="23.1">
      <c r="A7" s="48" t="s">
        <v>516</v>
      </c>
      <c r="B7" s="6" t="s">
        <v>517</v>
      </c>
      <c r="C7" s="4" t="s">
        <v>518</v>
      </c>
      <c r="D7" s="42">
        <v>3</v>
      </c>
      <c r="E7" s="42">
        <v>5</v>
      </c>
      <c r="F7" s="23" t="s">
        <v>509</v>
      </c>
      <c r="G7" s="4" t="s">
        <v>519</v>
      </c>
    </row>
    <row r="8" spans="1:7">
      <c r="A8" s="48" t="s">
        <v>520</v>
      </c>
      <c r="B8" s="6" t="s">
        <v>521</v>
      </c>
      <c r="C8" s="4" t="s">
        <v>522</v>
      </c>
      <c r="D8" s="42">
        <v>2</v>
      </c>
      <c r="E8" s="42">
        <v>3</v>
      </c>
      <c r="F8" s="23" t="s">
        <v>523</v>
      </c>
      <c r="G8" s="4" t="s">
        <v>524</v>
      </c>
    </row>
    <row r="9" spans="1:7" ht="23.1">
      <c r="A9" s="48" t="s">
        <v>525</v>
      </c>
      <c r="B9" s="6" t="s">
        <v>526</v>
      </c>
      <c r="C9" s="4" t="s">
        <v>527</v>
      </c>
      <c r="D9" s="42">
        <v>2</v>
      </c>
      <c r="E9" s="42">
        <v>4</v>
      </c>
      <c r="F9" s="23" t="s">
        <v>523</v>
      </c>
      <c r="G9" s="4" t="s">
        <v>528</v>
      </c>
    </row>
    <row r="10" spans="1:7">
      <c r="A10" s="48" t="s">
        <v>529</v>
      </c>
      <c r="B10" s="6" t="s">
        <v>530</v>
      </c>
      <c r="C10" s="4" t="s">
        <v>531</v>
      </c>
      <c r="D10" s="42">
        <v>2</v>
      </c>
      <c r="E10" s="42">
        <v>2</v>
      </c>
      <c r="F10" s="23" t="s">
        <v>532</v>
      </c>
      <c r="G10" s="4" t="s">
        <v>533</v>
      </c>
    </row>
    <row r="11" spans="1:7">
      <c r="A11" s="48" t="s">
        <v>534</v>
      </c>
      <c r="B11" s="6" t="s">
        <v>535</v>
      </c>
      <c r="C11" s="4" t="s">
        <v>536</v>
      </c>
      <c r="D11" s="42">
        <v>1</v>
      </c>
      <c r="E11" s="42">
        <v>2</v>
      </c>
      <c r="F11" s="23" t="s">
        <v>532</v>
      </c>
      <c r="G11" s="4" t="s">
        <v>537</v>
      </c>
    </row>
  </sheetData>
  <mergeCells count="2">
    <mergeCell ref="A1:G1"/>
    <mergeCell ref="A2:G2"/>
  </mergeCells>
  <conditionalFormatting sqref="F5:F11">
    <cfRule type="cellIs" dxfId="2" priority="2" operator="equal">
      <formula>"Gerenciar de perto"</formula>
    </cfRule>
    <cfRule type="cellIs" dxfId="1" priority="3" operator="equal">
      <formula>"Manter satisfeito"</formula>
    </cfRule>
    <cfRule type="cellIs" dxfId="0" priority="4" operator="equal">
      <formula>"Manter informado"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JOAO PEDRO ALVES OLIVEIRA</cp:lastModifiedBy>
  <cp:revision>0</cp:revision>
  <dcterms:created xsi:type="dcterms:W3CDTF">2026-08-15T02:47:51Z</dcterms:created>
  <dcterms:modified xsi:type="dcterms:W3CDTF">2026-10-03T11:19:31Z</dcterms:modified>
  <cp:category/>
  <cp:contentStatus/>
</cp:coreProperties>
</file>